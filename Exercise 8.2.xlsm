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/>
  <workbookPr hidePivotFieldList="1"/>
  <mc:AlternateContent xmlns:mc="http://schemas.openxmlformats.org/markup-compatibility/2006">
    <mc:Choice Requires="x15">
      <x15ac:absPath xmlns:x15ac="http://schemas.microsoft.com/office/spreadsheetml/2010/11/ac" url="C:\Users\Supraja\Desktop\1. Intro to DS\"/>
    </mc:Choice>
  </mc:AlternateContent>
  <xr:revisionPtr revIDLastSave="0" documentId="13_ncr:1_{5F47616C-3E72-49D7-9D98-8428BCE649AC}" xr6:coauthVersionLast="46" xr6:coauthVersionMax="46" xr10:uidLastSave="{00000000-0000-0000-0000-000000000000}"/>
  <bookViews>
    <workbookView xWindow="-110" yWindow="-110" windowWidth="19420" windowHeight="10080" tabRatio="726" xr2:uid="{00000000-000D-0000-FFFF-FFFF00000000}"/>
  </bookViews>
  <sheets>
    <sheet name="Basketball Game Sales" sheetId="1" r:id="rId1"/>
    <sheet name="Cleansed SalesData" sheetId="11" r:id="rId2"/>
    <sheet name="Calories" sheetId="3" r:id="rId3"/>
    <sheet name="Fee Schedule" sheetId="4" r:id="rId4"/>
    <sheet name="Revenue By Item" sheetId="6" r:id="rId5"/>
    <sheet name="Calories-Solver" sheetId="10" r:id="rId6"/>
  </sheets>
  <definedNames>
    <definedName name="_xlnm._FilterDatabase" localSheetId="0" hidden="1">'Basketball Game Sales'!$A$1:$AA$200</definedName>
    <definedName name="_xlnm._FilterDatabase" localSheetId="1" hidden="1">'Cleansed SalesData'!$A$1:$J$192</definedName>
    <definedName name="solver_adj" localSheetId="5" hidden="1">'Calories-Solver'!$C$2:$C$15</definedName>
    <definedName name="solver_cvg" localSheetId="5" hidden="1">0.0001</definedName>
    <definedName name="solver_drv" localSheetId="5" hidden="1">1</definedName>
    <definedName name="solver_eng" localSheetId="5" hidden="1">2</definedName>
    <definedName name="solver_itr" localSheetId="5" hidden="1">2147483647</definedName>
    <definedName name="solver_lhs1" localSheetId="5" hidden="1">'Calories-Solver'!$C$17</definedName>
    <definedName name="solver_lhs2" localSheetId="5" hidden="1">'Calories-Solver'!$C$2:$C$15</definedName>
    <definedName name="solver_lin" localSheetId="5" hidden="1">1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2</definedName>
    <definedName name="solver_opt" localSheetId="5" hidden="1">'Calories-Solver'!$C$16</definedName>
    <definedName name="solver_pre" localSheetId="5" hidden="1">0.000001</definedName>
    <definedName name="solver_rbv" localSheetId="5" hidden="1">1</definedName>
    <definedName name="solver_rel1" localSheetId="5" hidden="1">2</definedName>
    <definedName name="solver_rel2" localSheetId="5" hidden="1">4</definedName>
    <definedName name="solver_rhs1" localSheetId="5" hidden="1">2400</definedName>
    <definedName name="solver_rhs2" localSheetId="5" hidden="1">integer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2</definedName>
  </definedNames>
  <calcPr calcId="191029" concurrentCalc="0"/>
  <pivotCaches>
    <pivotCache cacheId="4" r:id="rId7"/>
    <pivotCache cacheId="21" r:id="rId8"/>
    <pivotCache cacheId="2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2" i="11" l="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2" i="11"/>
  <c r="C17" i="10"/>
  <c r="C16" i="10"/>
  <c r="D2" i="6" a="1"/>
  <c r="D2" i="6"/>
  <c r="B21" i="3"/>
  <c r="B20" i="3"/>
  <c r="B19" i="3"/>
  <c r="B18" i="3"/>
</calcChain>
</file>

<file path=xl/sharedStrings.xml><?xml version="1.0" encoding="utf-8"?>
<sst xmlns="http://schemas.openxmlformats.org/spreadsheetml/2006/main" count="990" uniqueCount="76">
  <si>
    <t>Item</t>
  </si>
  <si>
    <t>Category</t>
  </si>
  <si>
    <t>Price</t>
  </si>
  <si>
    <t>Profit</t>
  </si>
  <si>
    <t>Actual Profit</t>
  </si>
  <si>
    <t>Calories</t>
  </si>
  <si>
    <t>Beer</t>
  </si>
  <si>
    <t>Beverages</t>
  </si>
  <si>
    <t>Hamburger</t>
  </si>
  <si>
    <t>Hot Food</t>
  </si>
  <si>
    <t>Popcorn</t>
  </si>
  <si>
    <t>Hot Fod</t>
  </si>
  <si>
    <t>Pizza</t>
  </si>
  <si>
    <t>Bottled Water</t>
  </si>
  <si>
    <t>Hot Dog</t>
  </si>
  <si>
    <t>Chocolate Dipped Cone</t>
  </si>
  <si>
    <t>Frozen Treat</t>
  </si>
  <si>
    <t>Soda</t>
  </si>
  <si>
    <t>Chocolate Bar</t>
  </si>
  <si>
    <t>Candy</t>
  </si>
  <si>
    <t>Beverags</t>
  </si>
  <si>
    <t>Licorce Rope</t>
  </si>
  <si>
    <t>Frozen Treats</t>
  </si>
  <si>
    <t>Nachos</t>
  </si>
  <si>
    <t>Gumy Bears</t>
  </si>
  <si>
    <t>Cand</t>
  </si>
  <si>
    <t>Gummy Bears</t>
  </si>
  <si>
    <t>Licorice Rope</t>
  </si>
  <si>
    <t>Popcrn</t>
  </si>
  <si>
    <t>Ice Cream Sandwich</t>
  </si>
  <si>
    <t>Hmburger</t>
  </si>
  <si>
    <t>Beerages</t>
  </si>
  <si>
    <t>Popsicle</t>
  </si>
  <si>
    <t>Pizzaa</t>
  </si>
  <si>
    <t>Popsile</t>
  </si>
  <si>
    <t>Match</t>
  </si>
  <si>
    <t>Index</t>
  </si>
  <si>
    <t>Offset</t>
  </si>
  <si>
    <t>Small</t>
  </si>
  <si>
    <t>Percent</t>
  </si>
  <si>
    <t>Row Labels</t>
  </si>
  <si>
    <t>Sum of Price</t>
  </si>
  <si>
    <t>Total Cut for Coach:</t>
  </si>
  <si>
    <t>How many?</t>
  </si>
  <si>
    <t>Total Items:</t>
  </si>
  <si>
    <t>Total Calories:</t>
  </si>
  <si>
    <t>Grand Total</t>
  </si>
  <si>
    <t>Count of Category</t>
  </si>
  <si>
    <t>Beerages,Beverages,Beverags</t>
  </si>
  <si>
    <t>Cand, Candy</t>
  </si>
  <si>
    <t>Frozen Treat, Frozen Treats</t>
  </si>
  <si>
    <t>Hot Fod, Hot Food</t>
  </si>
  <si>
    <t>Gummy Bears, Gumy Bears</t>
  </si>
  <si>
    <t>Hamburger, Hmburger</t>
  </si>
  <si>
    <t>Licorce Rope, Licorice Rope</t>
  </si>
  <si>
    <t>Pizza, Pizzaa</t>
  </si>
  <si>
    <t>Popcorn, Popcrn</t>
  </si>
  <si>
    <t>Popsicle, Popsile</t>
  </si>
  <si>
    <t>Pivot for Items</t>
  </si>
  <si>
    <t>Count of Item</t>
  </si>
  <si>
    <t>Pivot for Category</t>
  </si>
  <si>
    <t>Observations on Data:</t>
  </si>
  <si>
    <t>Sorted Price in Ascending order</t>
  </si>
  <si>
    <t>Unique Values (Remove Duplicates)</t>
  </si>
  <si>
    <t>2, 200%,300%,4</t>
  </si>
  <si>
    <t>3. Price Column, Data types are not uniform. These need to be removed as currency cant be assumed for such values</t>
  </si>
  <si>
    <t>Sorted Profit in Ascending Order</t>
  </si>
  <si>
    <t xml:space="preserve">4. Profit column looks good. The data types are consistant. </t>
  </si>
  <si>
    <t>1. Typos or multiple or duplicate names in Category Column. These need to be normalized inorder to compute actual profit</t>
  </si>
  <si>
    <t>2. Typos or multiple or duplicate names in Item Column. These need to be normalized inorder to compute actual profit</t>
  </si>
  <si>
    <t>LicorIce Rope</t>
  </si>
  <si>
    <t>PopcOrn</t>
  </si>
  <si>
    <t>Sum of Actual Profit</t>
  </si>
  <si>
    <t>Sum of Actual profit by Item by Category</t>
  </si>
  <si>
    <t>Sum of Calories</t>
  </si>
  <si>
    <t>Item counts matches so lookup could fetch calorie count for all the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</si>
</sst>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>
    <font>
      <sz val="12"/>
      <color theme="1"/>
      <name val="Calibri"/>
      <charset val="134"/>
      <scheme val="minor"/>
    </font>
    <font>
      <sz val="12"/>
      <name val="Calibri"/>
      <charset val="134"/>
      <scheme val="minor"/>
    </font>
    <font>
      <b/>
      <sz val="12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6" tint="0.79995117038483843"/>
      </top>
      <bottom style="thin">
        <color theme="6" tint="0.79995117038483843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0" borderId="1" xfId="0" applyFont="1" applyBorder="1" applyAlignment="1">
      <alignment horizontal="left"/>
    </xf>
    <xf numFmtId="0" fontId="2" fillId="0" borderId="0" xfId="0" applyFont="1"/>
    <xf numFmtId="0" fontId="3" fillId="0" borderId="0" xfId="0" applyFont="1" applyFill="1" applyBorder="1" applyAlignment="1">
      <alignment horizontal="left"/>
    </xf>
    <xf numFmtId="9" fontId="0" fillId="0" borderId="0" xfId="2" applyFont="1"/>
    <xf numFmtId="0" fontId="0" fillId="0" borderId="2" xfId="0" applyBorder="1"/>
    <xf numFmtId="0" fontId="0" fillId="0" borderId="2" xfId="0" applyFill="1" applyBorder="1"/>
    <xf numFmtId="44" fontId="0" fillId="0" borderId="0" xfId="1" applyFont="1"/>
    <xf numFmtId="44" fontId="0" fillId="0" borderId="0" xfId="0" applyNumberFormat="1"/>
    <xf numFmtId="49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6" fillId="0" borderId="0" xfId="0" applyFont="1"/>
    <xf numFmtId="0" fontId="5" fillId="4" borderId="0" xfId="0" applyFont="1" applyFill="1"/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5" borderId="0" xfId="0" applyFill="1" applyAlignment="1">
      <alignment horizontal="left"/>
    </xf>
    <xf numFmtId="0" fontId="0" fillId="5" borderId="0" xfId="0" applyNumberFormat="1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0" fillId="6" borderId="0" xfId="0" applyFill="1" applyAlignment="1">
      <alignment horizontal="left"/>
    </xf>
    <xf numFmtId="0" fontId="0" fillId="6" borderId="0" xfId="0" applyNumberFormat="1" applyFill="1"/>
    <xf numFmtId="0" fontId="0" fillId="7" borderId="0" xfId="0" applyFill="1" applyAlignment="1">
      <alignment horizontal="left"/>
    </xf>
    <xf numFmtId="0" fontId="0" fillId="7" borderId="0" xfId="0" applyNumberFormat="1" applyFill="1"/>
    <xf numFmtId="0" fontId="0" fillId="8" borderId="0" xfId="0" applyFill="1" applyAlignment="1">
      <alignment horizontal="left"/>
    </xf>
    <xf numFmtId="0" fontId="0" fillId="8" borderId="0" xfId="0" applyNumberFormat="1" applyFill="1"/>
    <xf numFmtId="0" fontId="0" fillId="9" borderId="0" xfId="0" applyFill="1" applyAlignment="1">
      <alignment horizontal="left"/>
    </xf>
    <xf numFmtId="0" fontId="0" fillId="9" borderId="0" xfId="0" applyNumberFormat="1" applyFill="1"/>
    <xf numFmtId="0" fontId="0" fillId="10" borderId="0" xfId="0" applyFill="1" applyAlignment="1">
      <alignment horizontal="left"/>
    </xf>
    <xf numFmtId="0" fontId="0" fillId="10" borderId="0" xfId="0" applyNumberFormat="1" applyFill="1"/>
    <xf numFmtId="0" fontId="6" fillId="0" borderId="0" xfId="0" applyFont="1" applyBorder="1"/>
    <xf numFmtId="49" fontId="0" fillId="3" borderId="0" xfId="1" applyNumberFormat="1" applyFont="1" applyFill="1"/>
    <xf numFmtId="9" fontId="0" fillId="6" borderId="0" xfId="2" applyFont="1" applyFill="1"/>
    <xf numFmtId="49" fontId="0" fillId="7" borderId="0" xfId="1" applyNumberFormat="1" applyFont="1" applyFill="1"/>
    <xf numFmtId="0" fontId="5" fillId="4" borderId="2" xfId="0" applyFont="1" applyFill="1" applyBorder="1"/>
    <xf numFmtId="0" fontId="5" fillId="4" borderId="0" xfId="0" applyFont="1" applyFill="1" applyBorder="1"/>
    <xf numFmtId="0" fontId="6" fillId="4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20"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  <c:txPr>
        <a:bodyPr rot="0" spcFirstLastPara="0" vertOverflow="ellipsis" vert="horz" wrap="square" anchor="ctr" anchorCtr="1"/>
        <a:lstStyle/>
        <a:p>
          <a:pPr>
            <a:defRPr lang="en-US" sz="216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Calories!$B$1</c:f>
              <c:strCache>
                <c:ptCount val="1"/>
                <c:pt idx="0">
                  <c:v>Calories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Calories!$A$2:$A$15</c:f>
              <c:strCache>
                <c:ptCount val="14"/>
                <c:pt idx="0">
                  <c:v>Beer</c:v>
                </c:pt>
                <c:pt idx="1">
                  <c:v>Bottled Water</c:v>
                </c:pt>
                <c:pt idx="2">
                  <c:v>Chocolate Bar</c:v>
                </c:pt>
                <c:pt idx="3">
                  <c:v>Chocolate Dipped Cone</c:v>
                </c:pt>
                <c:pt idx="4">
                  <c:v>Gummy Bears</c:v>
                </c:pt>
                <c:pt idx="5">
                  <c:v>Hamburger</c:v>
                </c:pt>
                <c:pt idx="6">
                  <c:v>Hot Dog</c:v>
                </c:pt>
                <c:pt idx="7">
                  <c:v>Ice Cream Sandwich</c:v>
                </c:pt>
                <c:pt idx="8">
                  <c:v>Licorice Rope</c:v>
                </c:pt>
                <c:pt idx="9">
                  <c:v>Nachos</c:v>
                </c:pt>
                <c:pt idx="10">
                  <c:v>Pizza</c:v>
                </c:pt>
                <c:pt idx="11">
                  <c:v>Popcorn</c:v>
                </c:pt>
                <c:pt idx="12">
                  <c:v>Popsicle</c:v>
                </c:pt>
                <c:pt idx="13">
                  <c:v>Soda</c:v>
                </c:pt>
              </c:strCache>
            </c:strRef>
          </c:cat>
          <c:val>
            <c:numRef>
              <c:f>Calories!$B$2:$B$15</c:f>
              <c:numCache>
                <c:formatCode>General</c:formatCode>
                <c:ptCount val="14"/>
                <c:pt idx="0">
                  <c:v>200</c:v>
                </c:pt>
                <c:pt idx="1">
                  <c:v>0</c:v>
                </c:pt>
                <c:pt idx="2">
                  <c:v>255</c:v>
                </c:pt>
                <c:pt idx="3">
                  <c:v>300</c:v>
                </c:pt>
                <c:pt idx="4">
                  <c:v>300</c:v>
                </c:pt>
                <c:pt idx="5">
                  <c:v>320</c:v>
                </c:pt>
                <c:pt idx="6">
                  <c:v>265</c:v>
                </c:pt>
                <c:pt idx="7">
                  <c:v>240</c:v>
                </c:pt>
                <c:pt idx="8">
                  <c:v>280</c:v>
                </c:pt>
                <c:pt idx="9">
                  <c:v>560</c:v>
                </c:pt>
                <c:pt idx="10">
                  <c:v>480</c:v>
                </c:pt>
                <c:pt idx="11">
                  <c:v>500</c:v>
                </c:pt>
                <c:pt idx="12">
                  <c:v>150</c:v>
                </c:pt>
                <c:pt idx="13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52-4CF1-84C7-FFE5B9CC0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469304"/>
        <c:axId val="334471096"/>
      </c:barChart>
      <c:catAx>
        <c:axId val="334469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71096"/>
        <c:crosses val="autoZero"/>
        <c:auto val="1"/>
        <c:lblAlgn val="ctr"/>
        <c:lblOffset val="100"/>
        <c:noMultiLvlLbl val="0"/>
      </c:catAx>
      <c:valAx>
        <c:axId val="334471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6930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lang="en-US"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0</xdr:row>
      <xdr:rowOff>101600</xdr:rowOff>
    </xdr:from>
    <xdr:to>
      <xdr:col>11</xdr:col>
      <xdr:colOff>381000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praja" refreshedDate="44325.013512384263" createdVersion="7" refreshedVersion="7" minRefreshableVersion="3" recordCount="199" xr:uid="{7BC22CFA-1189-4546-B9B3-2A084CCE4F32}">
  <cacheSource type="worksheet">
    <worksheetSource ref="A1:F200" sheet="Basketball Game Sales"/>
  </cacheSource>
  <cacheFields count="6">
    <cacheField name="Item" numFmtId="0">
      <sharedItems count="20">
        <s v="Beer"/>
        <s v="Hamburger"/>
        <s v="Popcorn"/>
        <s v="Pizza"/>
        <s v="Bottled Water"/>
        <s v="Hot Dog"/>
        <s v="Chocolate Dipped Cone"/>
        <s v="Soda"/>
        <s v="Chocolate Bar"/>
        <s v="Licorce Rope"/>
        <s v="Nachos"/>
        <s v="Gumy Bears"/>
        <s v="Gummy Bears"/>
        <s v="Licorice Rope"/>
        <s v="Popcrn"/>
        <s v="Ice Cream Sandwich"/>
        <s v="Hmburger"/>
        <s v="Popsicle"/>
        <s v="Pizzaa"/>
        <s v="Popsile"/>
      </sharedItems>
    </cacheField>
    <cacheField name="Category" numFmtId="0">
      <sharedItems count="9">
        <s v="Beverages"/>
        <s v="Hot Food"/>
        <s v="Hot Fod"/>
        <s v="Frozen Treat"/>
        <s v="Candy"/>
        <s v="Beverags"/>
        <s v="Frozen Treats"/>
        <s v="Cand"/>
        <s v="Beerages"/>
      </sharedItems>
    </cacheField>
    <cacheField name="Price" numFmtId="0">
      <sharedItems containsSemiMixedTypes="0" containsString="0" containsNumber="1" minValue="1" maxValue="25"/>
    </cacheField>
    <cacheField name="Profit" numFmtId="9">
      <sharedItems containsSemiMixedTypes="0" containsString="0" containsNumber="1" minValue="0.25" maxValue="0.83333333333333304"/>
    </cacheField>
    <cacheField name="Actual Profit" numFmtId="44">
      <sharedItems containsNonDate="0" containsString="0" containsBlank="1"/>
    </cacheField>
    <cacheField name="Calori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praja" refreshedDate="44325.04739965278" createdVersion="7" refreshedVersion="7" minRefreshableVersion="3" recordCount="191" xr:uid="{FE10A7CB-36C0-4B27-988B-A040E55984A3}">
  <cacheSource type="worksheet">
    <worksheetSource ref="A1:E192" sheet="Cleansed SalesData"/>
  </cacheSource>
  <cacheFields count="5">
    <cacheField name="Item" numFmtId="0">
      <sharedItems count="14">
        <s v="Beer"/>
        <s v="Hamburger"/>
        <s v="Popcorn"/>
        <s v="Pizza"/>
        <s v="Bottled Water"/>
        <s v="Hot Dog"/>
        <s v="Chocolate Dipped Cone"/>
        <s v="Soda"/>
        <s v="Chocolate Bar"/>
        <s v="LicorIce Rope"/>
        <s v="Nachos"/>
        <s v="Gummy Bears"/>
        <s v="Ice Cream Sandwich"/>
        <s v="Popsicle"/>
      </sharedItems>
    </cacheField>
    <cacheField name="Category" numFmtId="0">
      <sharedItems count="4">
        <s v="Beverages"/>
        <s v="Hot Food"/>
        <s v="Frozen Treats"/>
        <s v="Candy"/>
      </sharedItems>
    </cacheField>
    <cacheField name="Price" numFmtId="44">
      <sharedItems containsSemiMixedTypes="0" containsString="0" containsNumber="1" minValue="1" maxValue="25" count="9">
        <n v="4"/>
        <n v="3"/>
        <n v="5"/>
        <n v="2"/>
        <n v="1.5"/>
        <n v="2.5"/>
        <n v="1"/>
        <n v="25"/>
        <n v="20"/>
      </sharedItems>
    </cacheField>
    <cacheField name="Profit" numFmtId="9">
      <sharedItems containsSemiMixedTypes="0" containsString="0" containsNumber="1" minValue="0.25" maxValue="0.83333333333333304"/>
    </cacheField>
    <cacheField name="Actual Profit" numFmtId="44">
      <sharedItems containsSemiMixedTypes="0" containsString="0" containsNumber="1" minValue="0.25" maxValue="20" count="11">
        <n v="2"/>
        <n v="2.0000000000000009"/>
        <n v="4"/>
        <n v="0.5"/>
        <n v="2.4999999999999991"/>
        <n v="1.0000000000000004"/>
        <n v="1.5"/>
        <n v="1"/>
        <n v="0.25"/>
        <n v="20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praja" refreshedDate="44325.052457986108" createdVersion="7" refreshedVersion="7" minRefreshableVersion="3" recordCount="191" xr:uid="{5A651CA2-08C1-4DA7-9AC6-F02389D215CC}">
  <cacheSource type="worksheet">
    <worksheetSource ref="A1:F192" sheet="Cleansed SalesData"/>
  </cacheSource>
  <cacheFields count="6">
    <cacheField name="Item" numFmtId="0">
      <sharedItems count="14">
        <s v="Beer"/>
        <s v="Hamburger"/>
        <s v="Popcorn"/>
        <s v="Pizza"/>
        <s v="Bottled Water"/>
        <s v="Hot Dog"/>
        <s v="Chocolate Dipped Cone"/>
        <s v="Soda"/>
        <s v="Chocolate Bar"/>
        <s v="LicorIce Rope"/>
        <s v="Nachos"/>
        <s v="Gummy Bears"/>
        <s v="Ice Cream Sandwich"/>
        <s v="Popsicle"/>
      </sharedItems>
    </cacheField>
    <cacheField name="Category" numFmtId="0">
      <sharedItems count="4">
        <s v="Beverages"/>
        <s v="Hot Food"/>
        <s v="Frozen Treats"/>
        <s v="Candy"/>
      </sharedItems>
    </cacheField>
    <cacheField name="Price" numFmtId="44">
      <sharedItems containsSemiMixedTypes="0" containsString="0" containsNumber="1" minValue="1" maxValue="25"/>
    </cacheField>
    <cacheField name="Profit" numFmtId="9">
      <sharedItems containsSemiMixedTypes="0" containsString="0" containsNumber="1" minValue="0.25" maxValue="0.83333333333333304"/>
    </cacheField>
    <cacheField name="Actual Profit" numFmtId="44">
      <sharedItems containsSemiMixedTypes="0" containsString="0" containsNumber="1" minValue="0.25" maxValue="20"/>
    </cacheField>
    <cacheField name="Calories" numFmtId="0">
      <sharedItems containsSemiMixedTypes="0" containsString="0" containsNumber="1" containsInteger="1" minValue="0" maxValue="5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x v="0"/>
    <n v="4"/>
    <n v="0.5"/>
    <m/>
    <m/>
  </r>
  <r>
    <x v="1"/>
    <x v="1"/>
    <n v="3"/>
    <n v="0.66666666666666696"/>
    <m/>
    <m/>
  </r>
  <r>
    <x v="2"/>
    <x v="2"/>
    <n v="5"/>
    <n v="0.8"/>
    <m/>
    <m/>
  </r>
  <r>
    <x v="3"/>
    <x v="1"/>
    <n v="2"/>
    <n v="0.25"/>
    <m/>
    <m/>
  </r>
  <r>
    <x v="4"/>
    <x v="0"/>
    <n v="3"/>
    <n v="0.83333333333333304"/>
    <m/>
    <m/>
  </r>
  <r>
    <x v="5"/>
    <x v="1"/>
    <n v="1.5"/>
    <n v="0.66666666666666696"/>
    <m/>
    <m/>
  </r>
  <r>
    <x v="6"/>
    <x v="3"/>
    <n v="3"/>
    <n v="0.5"/>
    <m/>
    <m/>
  </r>
  <r>
    <x v="7"/>
    <x v="0"/>
    <n v="2.5"/>
    <n v="0.8"/>
    <m/>
    <m/>
  </r>
  <r>
    <x v="8"/>
    <x v="4"/>
    <n v="2"/>
    <n v="0.75"/>
    <m/>
    <m/>
  </r>
  <r>
    <x v="1"/>
    <x v="1"/>
    <n v="3"/>
    <n v="0.66666666666666696"/>
    <m/>
    <m/>
  </r>
  <r>
    <x v="0"/>
    <x v="5"/>
    <n v="2"/>
    <n v="0.5"/>
    <m/>
    <m/>
  </r>
  <r>
    <x v="5"/>
    <x v="1"/>
    <n v="1.5"/>
    <n v="0.66666666666666696"/>
    <m/>
    <m/>
  </r>
  <r>
    <x v="9"/>
    <x v="4"/>
    <n v="2"/>
    <n v="0.5"/>
    <m/>
    <m/>
  </r>
  <r>
    <x v="6"/>
    <x v="6"/>
    <n v="3"/>
    <n v="0.5"/>
    <m/>
    <m/>
  </r>
  <r>
    <x v="10"/>
    <x v="1"/>
    <n v="3"/>
    <n v="0.5"/>
    <m/>
    <m/>
  </r>
  <r>
    <x v="3"/>
    <x v="1"/>
    <n v="1"/>
    <n v="0.25"/>
    <m/>
    <m/>
  </r>
  <r>
    <x v="0"/>
    <x v="0"/>
    <n v="4"/>
    <n v="0.5"/>
    <m/>
    <m/>
  </r>
  <r>
    <x v="7"/>
    <x v="0"/>
    <n v="2.5"/>
    <n v="0.8"/>
    <m/>
    <m/>
  </r>
  <r>
    <x v="0"/>
    <x v="0"/>
    <n v="4"/>
    <n v="0.5"/>
    <m/>
    <m/>
  </r>
  <r>
    <x v="1"/>
    <x v="1"/>
    <n v="3"/>
    <n v="0.66666666666666696"/>
    <m/>
    <m/>
  </r>
  <r>
    <x v="11"/>
    <x v="4"/>
    <n v="2"/>
    <n v="0.5"/>
    <m/>
    <m/>
  </r>
  <r>
    <x v="2"/>
    <x v="1"/>
    <n v="5"/>
    <n v="0.8"/>
    <m/>
    <m/>
  </r>
  <r>
    <x v="1"/>
    <x v="1"/>
    <n v="3"/>
    <n v="0.66666666666666696"/>
    <m/>
    <m/>
  </r>
  <r>
    <x v="10"/>
    <x v="1"/>
    <n v="3"/>
    <n v="0.5"/>
    <m/>
    <m/>
  </r>
  <r>
    <x v="10"/>
    <x v="1"/>
    <n v="3"/>
    <n v="0.5"/>
    <m/>
    <m/>
  </r>
  <r>
    <x v="6"/>
    <x v="6"/>
    <n v="3"/>
    <n v="0.5"/>
    <m/>
    <m/>
  </r>
  <r>
    <x v="8"/>
    <x v="7"/>
    <n v="2"/>
    <n v="0.75"/>
    <m/>
    <m/>
  </r>
  <r>
    <x v="1"/>
    <x v="1"/>
    <n v="3"/>
    <n v="0.66666666666666696"/>
    <m/>
    <m/>
  </r>
  <r>
    <x v="0"/>
    <x v="0"/>
    <n v="4"/>
    <n v="0.5"/>
    <m/>
    <m/>
  </r>
  <r>
    <x v="6"/>
    <x v="6"/>
    <n v="3"/>
    <n v="0.5"/>
    <m/>
    <m/>
  </r>
  <r>
    <x v="7"/>
    <x v="0"/>
    <n v="2.5"/>
    <n v="0.8"/>
    <m/>
    <m/>
  </r>
  <r>
    <x v="12"/>
    <x v="4"/>
    <n v="2"/>
    <n v="0.5"/>
    <m/>
    <m/>
  </r>
  <r>
    <x v="6"/>
    <x v="6"/>
    <n v="3"/>
    <n v="0.5"/>
    <m/>
    <m/>
  </r>
  <r>
    <x v="13"/>
    <x v="4"/>
    <n v="2"/>
    <n v="0.5"/>
    <m/>
    <m/>
  </r>
  <r>
    <x v="10"/>
    <x v="1"/>
    <n v="3"/>
    <n v="0.5"/>
    <m/>
    <m/>
  </r>
  <r>
    <x v="4"/>
    <x v="0"/>
    <n v="3"/>
    <n v="0.83333333333333304"/>
    <m/>
    <m/>
  </r>
  <r>
    <x v="4"/>
    <x v="0"/>
    <n v="3"/>
    <n v="0.83333333333333304"/>
    <m/>
    <m/>
  </r>
  <r>
    <x v="2"/>
    <x v="1"/>
    <n v="5"/>
    <n v="0.8"/>
    <m/>
    <m/>
  </r>
  <r>
    <x v="8"/>
    <x v="4"/>
    <n v="2"/>
    <n v="0.75"/>
    <m/>
    <m/>
  </r>
  <r>
    <x v="6"/>
    <x v="6"/>
    <n v="3"/>
    <n v="0.5"/>
    <m/>
    <m/>
  </r>
  <r>
    <x v="13"/>
    <x v="4"/>
    <n v="2"/>
    <n v="0.5"/>
    <m/>
    <m/>
  </r>
  <r>
    <x v="0"/>
    <x v="0"/>
    <n v="4"/>
    <n v="0.5"/>
    <m/>
    <m/>
  </r>
  <r>
    <x v="5"/>
    <x v="1"/>
    <n v="1.5"/>
    <n v="0.66666666666666696"/>
    <m/>
    <m/>
  </r>
  <r>
    <x v="8"/>
    <x v="4"/>
    <n v="2"/>
    <n v="0.75"/>
    <m/>
    <m/>
  </r>
  <r>
    <x v="3"/>
    <x v="1"/>
    <n v="2"/>
    <n v="0.25"/>
    <m/>
    <m/>
  </r>
  <r>
    <x v="1"/>
    <x v="1"/>
    <n v="3"/>
    <n v="0.66666666666666696"/>
    <m/>
    <m/>
  </r>
  <r>
    <x v="6"/>
    <x v="6"/>
    <n v="3"/>
    <n v="0.5"/>
    <m/>
    <m/>
  </r>
  <r>
    <x v="13"/>
    <x v="4"/>
    <n v="2"/>
    <n v="0.5"/>
    <m/>
    <m/>
  </r>
  <r>
    <x v="10"/>
    <x v="1"/>
    <n v="3"/>
    <n v="0.5"/>
    <m/>
    <m/>
  </r>
  <r>
    <x v="2"/>
    <x v="1"/>
    <n v="5"/>
    <n v="0.8"/>
    <m/>
    <m/>
  </r>
  <r>
    <x v="8"/>
    <x v="4"/>
    <n v="2"/>
    <n v="0.75"/>
    <m/>
    <m/>
  </r>
  <r>
    <x v="5"/>
    <x v="1"/>
    <n v="1.5"/>
    <n v="0.66666666666666696"/>
    <m/>
    <m/>
  </r>
  <r>
    <x v="2"/>
    <x v="1"/>
    <n v="5"/>
    <n v="0.8"/>
    <m/>
    <m/>
  </r>
  <r>
    <x v="0"/>
    <x v="0"/>
    <n v="4"/>
    <n v="0.5"/>
    <m/>
    <m/>
  </r>
  <r>
    <x v="6"/>
    <x v="6"/>
    <n v="3"/>
    <n v="0.5"/>
    <m/>
    <m/>
  </r>
  <r>
    <x v="12"/>
    <x v="4"/>
    <n v="2"/>
    <n v="0.5"/>
    <m/>
    <m/>
  </r>
  <r>
    <x v="13"/>
    <x v="4"/>
    <n v="2"/>
    <n v="0.5"/>
    <m/>
    <m/>
  </r>
  <r>
    <x v="0"/>
    <x v="0"/>
    <n v="4"/>
    <n v="0.5"/>
    <m/>
    <m/>
  </r>
  <r>
    <x v="13"/>
    <x v="4"/>
    <n v="2"/>
    <n v="0.5"/>
    <m/>
    <m/>
  </r>
  <r>
    <x v="0"/>
    <x v="0"/>
    <n v="4"/>
    <n v="0.5"/>
    <m/>
    <m/>
  </r>
  <r>
    <x v="7"/>
    <x v="0"/>
    <n v="25"/>
    <n v="0.8"/>
    <m/>
    <m/>
  </r>
  <r>
    <x v="5"/>
    <x v="1"/>
    <n v="1.5"/>
    <n v="0.66666666666666696"/>
    <m/>
    <m/>
  </r>
  <r>
    <x v="3"/>
    <x v="1"/>
    <n v="2"/>
    <n v="0.25"/>
    <m/>
    <m/>
  </r>
  <r>
    <x v="7"/>
    <x v="0"/>
    <n v="2.5"/>
    <n v="0.8"/>
    <m/>
    <m/>
  </r>
  <r>
    <x v="12"/>
    <x v="4"/>
    <n v="2"/>
    <n v="0.5"/>
    <m/>
    <m/>
  </r>
  <r>
    <x v="6"/>
    <x v="6"/>
    <n v="3"/>
    <n v="0.5"/>
    <m/>
    <m/>
  </r>
  <r>
    <x v="7"/>
    <x v="0"/>
    <n v="2.5"/>
    <n v="0.8"/>
    <m/>
    <m/>
  </r>
  <r>
    <x v="8"/>
    <x v="4"/>
    <n v="2"/>
    <n v="0.75"/>
    <m/>
    <m/>
  </r>
  <r>
    <x v="0"/>
    <x v="0"/>
    <n v="4"/>
    <n v="0.5"/>
    <m/>
    <m/>
  </r>
  <r>
    <x v="6"/>
    <x v="6"/>
    <n v="3"/>
    <n v="0.5"/>
    <m/>
    <m/>
  </r>
  <r>
    <x v="0"/>
    <x v="0"/>
    <n v="4"/>
    <n v="0.5"/>
    <m/>
    <m/>
  </r>
  <r>
    <x v="10"/>
    <x v="1"/>
    <n v="3"/>
    <n v="0.5"/>
    <m/>
    <m/>
  </r>
  <r>
    <x v="10"/>
    <x v="1"/>
    <n v="3"/>
    <n v="0.5"/>
    <m/>
    <m/>
  </r>
  <r>
    <x v="10"/>
    <x v="1"/>
    <n v="3"/>
    <n v="0.5"/>
    <m/>
    <m/>
  </r>
  <r>
    <x v="12"/>
    <x v="4"/>
    <n v="2"/>
    <n v="0.5"/>
    <m/>
    <m/>
  </r>
  <r>
    <x v="5"/>
    <x v="1"/>
    <n v="1.5"/>
    <n v="0.66666666666666696"/>
    <m/>
    <m/>
  </r>
  <r>
    <x v="3"/>
    <x v="1"/>
    <n v="2"/>
    <n v="0.25"/>
    <m/>
    <m/>
  </r>
  <r>
    <x v="4"/>
    <x v="0"/>
    <n v="3"/>
    <n v="0.83333333333333304"/>
    <m/>
    <m/>
  </r>
  <r>
    <x v="1"/>
    <x v="1"/>
    <n v="3"/>
    <n v="0.66666666666666696"/>
    <m/>
    <m/>
  </r>
  <r>
    <x v="6"/>
    <x v="6"/>
    <n v="3"/>
    <n v="0.5"/>
    <m/>
    <m/>
  </r>
  <r>
    <x v="14"/>
    <x v="1"/>
    <n v="5"/>
    <n v="0.8"/>
    <m/>
    <m/>
  </r>
  <r>
    <x v="5"/>
    <x v="1"/>
    <n v="1.5"/>
    <n v="0.66666666666666696"/>
    <m/>
    <m/>
  </r>
  <r>
    <x v="15"/>
    <x v="6"/>
    <n v="3"/>
    <n v="0.66666666666666696"/>
    <m/>
    <m/>
  </r>
  <r>
    <x v="8"/>
    <x v="4"/>
    <n v="2"/>
    <n v="0.75"/>
    <m/>
    <m/>
  </r>
  <r>
    <x v="13"/>
    <x v="4"/>
    <n v="2"/>
    <n v="0.5"/>
    <m/>
    <m/>
  </r>
  <r>
    <x v="0"/>
    <x v="0"/>
    <n v="4"/>
    <n v="0.5"/>
    <m/>
    <m/>
  </r>
  <r>
    <x v="5"/>
    <x v="1"/>
    <n v="1.5"/>
    <n v="0.66666666666666696"/>
    <m/>
    <m/>
  </r>
  <r>
    <x v="15"/>
    <x v="6"/>
    <n v="3"/>
    <n v="0.66666666666666696"/>
    <m/>
    <m/>
  </r>
  <r>
    <x v="5"/>
    <x v="1"/>
    <n v="1.5"/>
    <n v="0.66666666666666696"/>
    <m/>
    <m/>
  </r>
  <r>
    <x v="15"/>
    <x v="6"/>
    <n v="3"/>
    <n v="0.66666666666666696"/>
    <m/>
    <m/>
  </r>
  <r>
    <x v="7"/>
    <x v="0"/>
    <n v="2.5"/>
    <n v="0.8"/>
    <m/>
    <m/>
  </r>
  <r>
    <x v="8"/>
    <x v="4"/>
    <n v="2"/>
    <n v="0.75"/>
    <m/>
    <m/>
  </r>
  <r>
    <x v="12"/>
    <x v="4"/>
    <n v="2"/>
    <n v="0.5"/>
    <m/>
    <m/>
  </r>
  <r>
    <x v="3"/>
    <x v="1"/>
    <n v="2"/>
    <n v="0.25"/>
    <m/>
    <m/>
  </r>
  <r>
    <x v="5"/>
    <x v="1"/>
    <n v="1.5"/>
    <n v="0.66666666666666696"/>
    <m/>
    <m/>
  </r>
  <r>
    <x v="12"/>
    <x v="4"/>
    <n v="2"/>
    <n v="0.5"/>
    <m/>
    <m/>
  </r>
  <r>
    <x v="15"/>
    <x v="6"/>
    <n v="3"/>
    <n v="0.66666666666666696"/>
    <m/>
    <m/>
  </r>
  <r>
    <x v="13"/>
    <x v="4"/>
    <n v="2"/>
    <n v="0.5"/>
    <m/>
    <m/>
  </r>
  <r>
    <x v="0"/>
    <x v="0"/>
    <n v="3"/>
    <n v="0.5"/>
    <m/>
    <m/>
  </r>
  <r>
    <x v="1"/>
    <x v="1"/>
    <n v="3"/>
    <n v="0.66666666666666696"/>
    <m/>
    <m/>
  </r>
  <r>
    <x v="0"/>
    <x v="0"/>
    <n v="4"/>
    <n v="0.5"/>
    <m/>
    <m/>
  </r>
  <r>
    <x v="15"/>
    <x v="6"/>
    <n v="3"/>
    <n v="0.66666666666666696"/>
    <m/>
    <m/>
  </r>
  <r>
    <x v="12"/>
    <x v="4"/>
    <n v="2"/>
    <n v="0.5"/>
    <m/>
    <m/>
  </r>
  <r>
    <x v="16"/>
    <x v="1"/>
    <n v="3"/>
    <n v="0.66666666666666696"/>
    <m/>
    <m/>
  </r>
  <r>
    <x v="13"/>
    <x v="4"/>
    <n v="20"/>
    <n v="0.5"/>
    <m/>
    <m/>
  </r>
  <r>
    <x v="1"/>
    <x v="1"/>
    <n v="3"/>
    <n v="0.66666666666666696"/>
    <m/>
    <m/>
  </r>
  <r>
    <x v="7"/>
    <x v="0"/>
    <n v="2.5"/>
    <n v="0.8"/>
    <m/>
    <m/>
  </r>
  <r>
    <x v="4"/>
    <x v="0"/>
    <n v="3"/>
    <n v="0.83333333333333304"/>
    <m/>
    <m/>
  </r>
  <r>
    <x v="1"/>
    <x v="1"/>
    <n v="3"/>
    <n v="0.66666666666666696"/>
    <m/>
    <m/>
  </r>
  <r>
    <x v="15"/>
    <x v="6"/>
    <n v="3"/>
    <n v="0.66666666666666696"/>
    <m/>
    <m/>
  </r>
  <r>
    <x v="12"/>
    <x v="4"/>
    <n v="2"/>
    <n v="0.5"/>
    <m/>
    <m/>
  </r>
  <r>
    <x v="4"/>
    <x v="0"/>
    <n v="3"/>
    <n v="0.83333333333333304"/>
    <m/>
    <m/>
  </r>
  <r>
    <x v="5"/>
    <x v="1"/>
    <n v="1.5"/>
    <n v="0.66666666666666696"/>
    <m/>
    <m/>
  </r>
  <r>
    <x v="7"/>
    <x v="0"/>
    <n v="2.5"/>
    <n v="0.8"/>
    <m/>
    <m/>
  </r>
  <r>
    <x v="3"/>
    <x v="1"/>
    <n v="2"/>
    <n v="0.25"/>
    <m/>
    <m/>
  </r>
  <r>
    <x v="2"/>
    <x v="1"/>
    <n v="5"/>
    <n v="0.8"/>
    <m/>
    <m/>
  </r>
  <r>
    <x v="2"/>
    <x v="1"/>
    <n v="5"/>
    <n v="0.8"/>
    <m/>
    <m/>
  </r>
  <r>
    <x v="15"/>
    <x v="6"/>
    <n v="3"/>
    <n v="0.66666666666666696"/>
    <m/>
    <m/>
  </r>
  <r>
    <x v="2"/>
    <x v="1"/>
    <n v="5"/>
    <n v="0.8"/>
    <m/>
    <m/>
  </r>
  <r>
    <x v="4"/>
    <x v="0"/>
    <n v="3"/>
    <n v="0.83333333333333304"/>
    <m/>
    <m/>
  </r>
  <r>
    <x v="13"/>
    <x v="4"/>
    <n v="2"/>
    <n v="0.5"/>
    <m/>
    <m/>
  </r>
  <r>
    <x v="4"/>
    <x v="0"/>
    <n v="3"/>
    <n v="0.83333333333333304"/>
    <m/>
    <m/>
  </r>
  <r>
    <x v="15"/>
    <x v="6"/>
    <n v="3"/>
    <n v="0.66666666666666696"/>
    <m/>
    <m/>
  </r>
  <r>
    <x v="3"/>
    <x v="1"/>
    <n v="2"/>
    <n v="0.25"/>
    <m/>
    <m/>
  </r>
  <r>
    <x v="3"/>
    <x v="1"/>
    <n v="2"/>
    <n v="0.25"/>
    <m/>
    <m/>
  </r>
  <r>
    <x v="15"/>
    <x v="6"/>
    <n v="3"/>
    <n v="0.66666666666666696"/>
    <m/>
    <m/>
  </r>
  <r>
    <x v="3"/>
    <x v="1"/>
    <n v="2"/>
    <n v="0.25"/>
    <m/>
    <m/>
  </r>
  <r>
    <x v="12"/>
    <x v="4"/>
    <n v="2"/>
    <n v="0.5"/>
    <m/>
    <m/>
  </r>
  <r>
    <x v="8"/>
    <x v="4"/>
    <n v="2"/>
    <n v="0.75"/>
    <m/>
    <m/>
  </r>
  <r>
    <x v="0"/>
    <x v="0"/>
    <n v="4"/>
    <n v="0.5"/>
    <m/>
    <m/>
  </r>
  <r>
    <x v="15"/>
    <x v="6"/>
    <n v="3"/>
    <n v="0.66666666666666696"/>
    <m/>
    <m/>
  </r>
  <r>
    <x v="10"/>
    <x v="1"/>
    <n v="3"/>
    <n v="0.5"/>
    <m/>
    <m/>
  </r>
  <r>
    <x v="4"/>
    <x v="0"/>
    <n v="3"/>
    <n v="0.83333333333333304"/>
    <m/>
    <m/>
  </r>
  <r>
    <x v="0"/>
    <x v="8"/>
    <n v="4"/>
    <n v="0.5"/>
    <m/>
    <m/>
  </r>
  <r>
    <x v="1"/>
    <x v="1"/>
    <n v="3"/>
    <n v="0.66666666666666696"/>
    <m/>
    <m/>
  </r>
  <r>
    <x v="8"/>
    <x v="4"/>
    <n v="2"/>
    <n v="0.75"/>
    <m/>
    <m/>
  </r>
  <r>
    <x v="2"/>
    <x v="1"/>
    <n v="5"/>
    <n v="0.8"/>
    <m/>
    <m/>
  </r>
  <r>
    <x v="1"/>
    <x v="1"/>
    <n v="3"/>
    <n v="0.66666666666666696"/>
    <m/>
    <m/>
  </r>
  <r>
    <x v="7"/>
    <x v="0"/>
    <n v="2.5"/>
    <n v="0.8"/>
    <m/>
    <m/>
  </r>
  <r>
    <x v="3"/>
    <x v="1"/>
    <n v="2"/>
    <n v="0.25"/>
    <m/>
    <m/>
  </r>
  <r>
    <x v="5"/>
    <x v="1"/>
    <n v="1.5"/>
    <n v="0.66666666666666696"/>
    <m/>
    <m/>
  </r>
  <r>
    <x v="5"/>
    <x v="1"/>
    <n v="1.5"/>
    <n v="0.66666666666666696"/>
    <m/>
    <m/>
  </r>
  <r>
    <x v="10"/>
    <x v="1"/>
    <n v="3"/>
    <n v="0.5"/>
    <m/>
    <m/>
  </r>
  <r>
    <x v="1"/>
    <x v="1"/>
    <n v="3"/>
    <n v="0.66666666666666696"/>
    <m/>
    <m/>
  </r>
  <r>
    <x v="10"/>
    <x v="1"/>
    <n v="3"/>
    <n v="0.5"/>
    <m/>
    <m/>
  </r>
  <r>
    <x v="1"/>
    <x v="1"/>
    <n v="3"/>
    <n v="0.66666666666666696"/>
    <m/>
    <m/>
  </r>
  <r>
    <x v="5"/>
    <x v="1"/>
    <n v="1.5"/>
    <n v="0.66666666666666696"/>
    <m/>
    <m/>
  </r>
  <r>
    <x v="10"/>
    <x v="1"/>
    <n v="3"/>
    <n v="0.5"/>
    <m/>
    <m/>
  </r>
  <r>
    <x v="17"/>
    <x v="6"/>
    <n v="3"/>
    <n v="0.83333333333333304"/>
    <m/>
    <m/>
  </r>
  <r>
    <x v="2"/>
    <x v="1"/>
    <n v="5"/>
    <n v="0.8"/>
    <m/>
    <m/>
  </r>
  <r>
    <x v="2"/>
    <x v="1"/>
    <n v="5"/>
    <n v="0.8"/>
    <m/>
    <m/>
  </r>
  <r>
    <x v="4"/>
    <x v="0"/>
    <n v="3"/>
    <n v="0.83333333333333304"/>
    <m/>
    <m/>
  </r>
  <r>
    <x v="1"/>
    <x v="1"/>
    <n v="3"/>
    <n v="0.66666666666666696"/>
    <m/>
    <m/>
  </r>
  <r>
    <x v="3"/>
    <x v="1"/>
    <n v="2"/>
    <n v="0.25"/>
    <m/>
    <m/>
  </r>
  <r>
    <x v="17"/>
    <x v="6"/>
    <n v="3"/>
    <n v="0.83333333333333304"/>
    <m/>
    <m/>
  </r>
  <r>
    <x v="18"/>
    <x v="1"/>
    <n v="2"/>
    <n v="0.25"/>
    <m/>
    <m/>
  </r>
  <r>
    <x v="2"/>
    <x v="1"/>
    <n v="5"/>
    <n v="0.8"/>
    <m/>
    <m/>
  </r>
  <r>
    <x v="7"/>
    <x v="0"/>
    <n v="2.5"/>
    <n v="0.8"/>
    <m/>
    <m/>
  </r>
  <r>
    <x v="10"/>
    <x v="1"/>
    <n v="3"/>
    <n v="0.5"/>
    <m/>
    <m/>
  </r>
  <r>
    <x v="12"/>
    <x v="4"/>
    <n v="2"/>
    <n v="0.5"/>
    <m/>
    <m/>
  </r>
  <r>
    <x v="10"/>
    <x v="1"/>
    <n v="3"/>
    <n v="0.5"/>
    <m/>
    <m/>
  </r>
  <r>
    <x v="13"/>
    <x v="4"/>
    <n v="2"/>
    <n v="0.5"/>
    <m/>
    <m/>
  </r>
  <r>
    <x v="17"/>
    <x v="6"/>
    <n v="3"/>
    <n v="0.83333333333333304"/>
    <m/>
    <m/>
  </r>
  <r>
    <x v="2"/>
    <x v="1"/>
    <n v="5"/>
    <n v="0.8"/>
    <m/>
    <m/>
  </r>
  <r>
    <x v="17"/>
    <x v="6"/>
    <n v="3"/>
    <n v="0.83333333333333304"/>
    <m/>
    <m/>
  </r>
  <r>
    <x v="7"/>
    <x v="0"/>
    <n v="2.5"/>
    <n v="0.8"/>
    <m/>
    <m/>
  </r>
  <r>
    <x v="8"/>
    <x v="4"/>
    <n v="2"/>
    <n v="0.75"/>
    <m/>
    <m/>
  </r>
  <r>
    <x v="17"/>
    <x v="6"/>
    <n v="3"/>
    <n v="0.83333333333333304"/>
    <m/>
    <m/>
  </r>
  <r>
    <x v="12"/>
    <x v="4"/>
    <n v="2"/>
    <n v="0.5"/>
    <m/>
    <m/>
  </r>
  <r>
    <x v="8"/>
    <x v="4"/>
    <n v="2"/>
    <n v="0.75"/>
    <m/>
    <m/>
  </r>
  <r>
    <x v="10"/>
    <x v="1"/>
    <n v="3"/>
    <n v="0.5"/>
    <m/>
    <m/>
  </r>
  <r>
    <x v="13"/>
    <x v="4"/>
    <n v="2"/>
    <n v="0.5"/>
    <m/>
    <m/>
  </r>
  <r>
    <x v="0"/>
    <x v="0"/>
    <n v="4"/>
    <n v="0.5"/>
    <m/>
    <m/>
  </r>
  <r>
    <x v="17"/>
    <x v="6"/>
    <n v="3"/>
    <n v="0.83333333333333304"/>
    <m/>
    <m/>
  </r>
  <r>
    <x v="17"/>
    <x v="6"/>
    <n v="3"/>
    <n v="0.83333333333333304"/>
    <m/>
    <m/>
  </r>
  <r>
    <x v="17"/>
    <x v="6"/>
    <n v="3"/>
    <n v="0.83333333333333304"/>
    <m/>
    <m/>
  </r>
  <r>
    <x v="0"/>
    <x v="0"/>
    <n v="4"/>
    <n v="0.5"/>
    <m/>
    <m/>
  </r>
  <r>
    <x v="17"/>
    <x v="6"/>
    <n v="3"/>
    <n v="0.83333333333333304"/>
    <m/>
    <m/>
  </r>
  <r>
    <x v="12"/>
    <x v="4"/>
    <n v="2"/>
    <n v="0.5"/>
    <m/>
    <m/>
  </r>
  <r>
    <x v="3"/>
    <x v="1"/>
    <n v="2"/>
    <n v="0.25"/>
    <m/>
    <m/>
  </r>
  <r>
    <x v="0"/>
    <x v="0"/>
    <n v="4"/>
    <n v="0.5"/>
    <m/>
    <m/>
  </r>
  <r>
    <x v="2"/>
    <x v="1"/>
    <n v="5"/>
    <n v="0.8"/>
    <m/>
    <m/>
  </r>
  <r>
    <x v="17"/>
    <x v="6"/>
    <n v="3"/>
    <n v="0.83333333333333304"/>
    <m/>
    <m/>
  </r>
  <r>
    <x v="5"/>
    <x v="1"/>
    <n v="1.5"/>
    <n v="0.66666666666666696"/>
    <m/>
    <m/>
  </r>
  <r>
    <x v="7"/>
    <x v="0"/>
    <n v="2.5"/>
    <n v="0.8"/>
    <m/>
    <m/>
  </r>
  <r>
    <x v="13"/>
    <x v="4"/>
    <n v="2"/>
    <n v="0.5"/>
    <m/>
    <m/>
  </r>
  <r>
    <x v="4"/>
    <x v="0"/>
    <n v="3"/>
    <n v="0.83333333333333304"/>
    <m/>
    <m/>
  </r>
  <r>
    <x v="3"/>
    <x v="1"/>
    <n v="2"/>
    <n v="0.25"/>
    <m/>
    <m/>
  </r>
  <r>
    <x v="17"/>
    <x v="6"/>
    <n v="3"/>
    <n v="0.83333333333333304"/>
    <m/>
    <m/>
  </r>
  <r>
    <x v="12"/>
    <x v="4"/>
    <n v="2"/>
    <n v="0.5"/>
    <m/>
    <m/>
  </r>
  <r>
    <x v="3"/>
    <x v="1"/>
    <n v="2"/>
    <n v="0.25"/>
    <m/>
    <m/>
  </r>
  <r>
    <x v="4"/>
    <x v="0"/>
    <n v="3"/>
    <n v="0.83333333333333304"/>
    <m/>
    <m/>
  </r>
  <r>
    <x v="2"/>
    <x v="1"/>
    <n v="5"/>
    <n v="0.8"/>
    <m/>
    <m/>
  </r>
  <r>
    <x v="0"/>
    <x v="0"/>
    <n v="4"/>
    <n v="0.5"/>
    <m/>
    <m/>
  </r>
  <r>
    <x v="3"/>
    <x v="1"/>
    <n v="2"/>
    <n v="0.25"/>
    <m/>
    <m/>
  </r>
  <r>
    <x v="17"/>
    <x v="6"/>
    <n v="3"/>
    <n v="0.83333333333333304"/>
    <m/>
    <m/>
  </r>
  <r>
    <x v="8"/>
    <x v="4"/>
    <n v="2"/>
    <n v="0.75"/>
    <m/>
    <m/>
  </r>
  <r>
    <x v="4"/>
    <x v="0"/>
    <n v="3"/>
    <n v="0.83333333333333304"/>
    <m/>
    <m/>
  </r>
  <r>
    <x v="19"/>
    <x v="6"/>
    <n v="3"/>
    <n v="0.8333333333333330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x v="0"/>
    <x v="0"/>
    <n v="0.5"/>
    <x v="0"/>
  </r>
  <r>
    <x v="1"/>
    <x v="1"/>
    <x v="1"/>
    <n v="0.66666666666666696"/>
    <x v="1"/>
  </r>
  <r>
    <x v="2"/>
    <x v="1"/>
    <x v="2"/>
    <n v="0.8"/>
    <x v="2"/>
  </r>
  <r>
    <x v="3"/>
    <x v="1"/>
    <x v="3"/>
    <n v="0.25"/>
    <x v="3"/>
  </r>
  <r>
    <x v="4"/>
    <x v="0"/>
    <x v="1"/>
    <n v="0.83333333333333304"/>
    <x v="4"/>
  </r>
  <r>
    <x v="5"/>
    <x v="1"/>
    <x v="4"/>
    <n v="0.66666666666666696"/>
    <x v="5"/>
  </r>
  <r>
    <x v="6"/>
    <x v="2"/>
    <x v="1"/>
    <n v="0.5"/>
    <x v="6"/>
  </r>
  <r>
    <x v="7"/>
    <x v="0"/>
    <x v="5"/>
    <n v="0.8"/>
    <x v="0"/>
  </r>
  <r>
    <x v="8"/>
    <x v="3"/>
    <x v="3"/>
    <n v="0.75"/>
    <x v="6"/>
  </r>
  <r>
    <x v="1"/>
    <x v="1"/>
    <x v="1"/>
    <n v="0.66666666666666696"/>
    <x v="1"/>
  </r>
  <r>
    <x v="0"/>
    <x v="0"/>
    <x v="3"/>
    <n v="0.5"/>
    <x v="7"/>
  </r>
  <r>
    <x v="5"/>
    <x v="1"/>
    <x v="4"/>
    <n v="0.66666666666666696"/>
    <x v="5"/>
  </r>
  <r>
    <x v="9"/>
    <x v="3"/>
    <x v="3"/>
    <n v="0.5"/>
    <x v="7"/>
  </r>
  <r>
    <x v="6"/>
    <x v="2"/>
    <x v="1"/>
    <n v="0.5"/>
    <x v="6"/>
  </r>
  <r>
    <x v="10"/>
    <x v="1"/>
    <x v="1"/>
    <n v="0.5"/>
    <x v="6"/>
  </r>
  <r>
    <x v="3"/>
    <x v="1"/>
    <x v="6"/>
    <n v="0.25"/>
    <x v="8"/>
  </r>
  <r>
    <x v="0"/>
    <x v="0"/>
    <x v="0"/>
    <n v="0.5"/>
    <x v="0"/>
  </r>
  <r>
    <x v="7"/>
    <x v="0"/>
    <x v="5"/>
    <n v="0.8"/>
    <x v="0"/>
  </r>
  <r>
    <x v="0"/>
    <x v="0"/>
    <x v="0"/>
    <n v="0.5"/>
    <x v="0"/>
  </r>
  <r>
    <x v="1"/>
    <x v="1"/>
    <x v="1"/>
    <n v="0.66666666666666696"/>
    <x v="1"/>
  </r>
  <r>
    <x v="11"/>
    <x v="3"/>
    <x v="3"/>
    <n v="0.5"/>
    <x v="7"/>
  </r>
  <r>
    <x v="2"/>
    <x v="1"/>
    <x v="2"/>
    <n v="0.8"/>
    <x v="2"/>
  </r>
  <r>
    <x v="1"/>
    <x v="1"/>
    <x v="1"/>
    <n v="0.66666666666666696"/>
    <x v="1"/>
  </r>
  <r>
    <x v="10"/>
    <x v="1"/>
    <x v="1"/>
    <n v="0.5"/>
    <x v="6"/>
  </r>
  <r>
    <x v="10"/>
    <x v="1"/>
    <x v="1"/>
    <n v="0.5"/>
    <x v="6"/>
  </r>
  <r>
    <x v="6"/>
    <x v="2"/>
    <x v="1"/>
    <n v="0.5"/>
    <x v="6"/>
  </r>
  <r>
    <x v="8"/>
    <x v="3"/>
    <x v="3"/>
    <n v="0.75"/>
    <x v="6"/>
  </r>
  <r>
    <x v="1"/>
    <x v="1"/>
    <x v="1"/>
    <n v="0.66666666666666696"/>
    <x v="1"/>
  </r>
  <r>
    <x v="0"/>
    <x v="0"/>
    <x v="0"/>
    <n v="0.5"/>
    <x v="0"/>
  </r>
  <r>
    <x v="6"/>
    <x v="2"/>
    <x v="1"/>
    <n v="0.5"/>
    <x v="6"/>
  </r>
  <r>
    <x v="7"/>
    <x v="0"/>
    <x v="5"/>
    <n v="0.8"/>
    <x v="0"/>
  </r>
  <r>
    <x v="11"/>
    <x v="3"/>
    <x v="3"/>
    <n v="0.5"/>
    <x v="7"/>
  </r>
  <r>
    <x v="6"/>
    <x v="2"/>
    <x v="1"/>
    <n v="0.5"/>
    <x v="6"/>
  </r>
  <r>
    <x v="9"/>
    <x v="3"/>
    <x v="3"/>
    <n v="0.5"/>
    <x v="7"/>
  </r>
  <r>
    <x v="10"/>
    <x v="1"/>
    <x v="1"/>
    <n v="0.5"/>
    <x v="6"/>
  </r>
  <r>
    <x v="4"/>
    <x v="0"/>
    <x v="1"/>
    <n v="0.83333333333333304"/>
    <x v="4"/>
  </r>
  <r>
    <x v="4"/>
    <x v="0"/>
    <x v="1"/>
    <n v="0.83333333333333304"/>
    <x v="4"/>
  </r>
  <r>
    <x v="2"/>
    <x v="1"/>
    <x v="2"/>
    <n v="0.8"/>
    <x v="2"/>
  </r>
  <r>
    <x v="8"/>
    <x v="3"/>
    <x v="3"/>
    <n v="0.75"/>
    <x v="6"/>
  </r>
  <r>
    <x v="6"/>
    <x v="2"/>
    <x v="1"/>
    <n v="0.5"/>
    <x v="6"/>
  </r>
  <r>
    <x v="9"/>
    <x v="3"/>
    <x v="3"/>
    <n v="0.5"/>
    <x v="7"/>
  </r>
  <r>
    <x v="0"/>
    <x v="0"/>
    <x v="0"/>
    <n v="0.5"/>
    <x v="0"/>
  </r>
  <r>
    <x v="5"/>
    <x v="1"/>
    <x v="4"/>
    <n v="0.66666666666666696"/>
    <x v="5"/>
  </r>
  <r>
    <x v="8"/>
    <x v="3"/>
    <x v="3"/>
    <n v="0.75"/>
    <x v="6"/>
  </r>
  <r>
    <x v="3"/>
    <x v="1"/>
    <x v="3"/>
    <n v="0.25"/>
    <x v="3"/>
  </r>
  <r>
    <x v="1"/>
    <x v="1"/>
    <x v="1"/>
    <n v="0.66666666666666696"/>
    <x v="1"/>
  </r>
  <r>
    <x v="6"/>
    <x v="2"/>
    <x v="1"/>
    <n v="0.5"/>
    <x v="6"/>
  </r>
  <r>
    <x v="9"/>
    <x v="3"/>
    <x v="3"/>
    <n v="0.5"/>
    <x v="7"/>
  </r>
  <r>
    <x v="10"/>
    <x v="1"/>
    <x v="1"/>
    <n v="0.5"/>
    <x v="6"/>
  </r>
  <r>
    <x v="2"/>
    <x v="1"/>
    <x v="2"/>
    <n v="0.8"/>
    <x v="2"/>
  </r>
  <r>
    <x v="8"/>
    <x v="3"/>
    <x v="3"/>
    <n v="0.75"/>
    <x v="6"/>
  </r>
  <r>
    <x v="5"/>
    <x v="1"/>
    <x v="4"/>
    <n v="0.66666666666666696"/>
    <x v="5"/>
  </r>
  <r>
    <x v="2"/>
    <x v="1"/>
    <x v="2"/>
    <n v="0.8"/>
    <x v="2"/>
  </r>
  <r>
    <x v="0"/>
    <x v="0"/>
    <x v="0"/>
    <n v="0.5"/>
    <x v="0"/>
  </r>
  <r>
    <x v="6"/>
    <x v="2"/>
    <x v="1"/>
    <n v="0.5"/>
    <x v="6"/>
  </r>
  <r>
    <x v="11"/>
    <x v="3"/>
    <x v="3"/>
    <n v="0.5"/>
    <x v="7"/>
  </r>
  <r>
    <x v="9"/>
    <x v="3"/>
    <x v="3"/>
    <n v="0.5"/>
    <x v="7"/>
  </r>
  <r>
    <x v="0"/>
    <x v="0"/>
    <x v="0"/>
    <n v="0.5"/>
    <x v="0"/>
  </r>
  <r>
    <x v="9"/>
    <x v="3"/>
    <x v="3"/>
    <n v="0.5"/>
    <x v="7"/>
  </r>
  <r>
    <x v="0"/>
    <x v="0"/>
    <x v="0"/>
    <n v="0.5"/>
    <x v="0"/>
  </r>
  <r>
    <x v="7"/>
    <x v="0"/>
    <x v="7"/>
    <n v="0.8"/>
    <x v="9"/>
  </r>
  <r>
    <x v="5"/>
    <x v="1"/>
    <x v="4"/>
    <n v="0.66666666666666696"/>
    <x v="5"/>
  </r>
  <r>
    <x v="3"/>
    <x v="1"/>
    <x v="3"/>
    <n v="0.25"/>
    <x v="3"/>
  </r>
  <r>
    <x v="7"/>
    <x v="0"/>
    <x v="5"/>
    <n v="0.8"/>
    <x v="0"/>
  </r>
  <r>
    <x v="11"/>
    <x v="3"/>
    <x v="3"/>
    <n v="0.5"/>
    <x v="7"/>
  </r>
  <r>
    <x v="6"/>
    <x v="2"/>
    <x v="1"/>
    <n v="0.5"/>
    <x v="6"/>
  </r>
  <r>
    <x v="7"/>
    <x v="0"/>
    <x v="5"/>
    <n v="0.8"/>
    <x v="0"/>
  </r>
  <r>
    <x v="8"/>
    <x v="3"/>
    <x v="3"/>
    <n v="0.75"/>
    <x v="6"/>
  </r>
  <r>
    <x v="0"/>
    <x v="0"/>
    <x v="0"/>
    <n v="0.5"/>
    <x v="0"/>
  </r>
  <r>
    <x v="6"/>
    <x v="2"/>
    <x v="1"/>
    <n v="0.5"/>
    <x v="6"/>
  </r>
  <r>
    <x v="0"/>
    <x v="0"/>
    <x v="0"/>
    <n v="0.5"/>
    <x v="0"/>
  </r>
  <r>
    <x v="10"/>
    <x v="1"/>
    <x v="1"/>
    <n v="0.5"/>
    <x v="6"/>
  </r>
  <r>
    <x v="10"/>
    <x v="1"/>
    <x v="1"/>
    <n v="0.5"/>
    <x v="6"/>
  </r>
  <r>
    <x v="10"/>
    <x v="1"/>
    <x v="1"/>
    <n v="0.5"/>
    <x v="6"/>
  </r>
  <r>
    <x v="11"/>
    <x v="3"/>
    <x v="3"/>
    <n v="0.5"/>
    <x v="7"/>
  </r>
  <r>
    <x v="5"/>
    <x v="1"/>
    <x v="4"/>
    <n v="0.66666666666666696"/>
    <x v="5"/>
  </r>
  <r>
    <x v="3"/>
    <x v="1"/>
    <x v="3"/>
    <n v="0.25"/>
    <x v="3"/>
  </r>
  <r>
    <x v="4"/>
    <x v="0"/>
    <x v="1"/>
    <n v="0.83333333333333304"/>
    <x v="4"/>
  </r>
  <r>
    <x v="1"/>
    <x v="1"/>
    <x v="1"/>
    <n v="0.66666666666666696"/>
    <x v="1"/>
  </r>
  <r>
    <x v="6"/>
    <x v="2"/>
    <x v="1"/>
    <n v="0.5"/>
    <x v="6"/>
  </r>
  <r>
    <x v="2"/>
    <x v="1"/>
    <x v="2"/>
    <n v="0.8"/>
    <x v="2"/>
  </r>
  <r>
    <x v="5"/>
    <x v="1"/>
    <x v="4"/>
    <n v="0.66666666666666696"/>
    <x v="5"/>
  </r>
  <r>
    <x v="12"/>
    <x v="2"/>
    <x v="1"/>
    <n v="0.66666666666666696"/>
    <x v="1"/>
  </r>
  <r>
    <x v="8"/>
    <x v="3"/>
    <x v="3"/>
    <n v="0.75"/>
    <x v="6"/>
  </r>
  <r>
    <x v="9"/>
    <x v="3"/>
    <x v="3"/>
    <n v="0.5"/>
    <x v="7"/>
  </r>
  <r>
    <x v="0"/>
    <x v="0"/>
    <x v="0"/>
    <n v="0.5"/>
    <x v="0"/>
  </r>
  <r>
    <x v="5"/>
    <x v="1"/>
    <x v="4"/>
    <n v="0.66666666666666696"/>
    <x v="5"/>
  </r>
  <r>
    <x v="12"/>
    <x v="2"/>
    <x v="1"/>
    <n v="0.66666666666666696"/>
    <x v="1"/>
  </r>
  <r>
    <x v="5"/>
    <x v="1"/>
    <x v="4"/>
    <n v="0.66666666666666696"/>
    <x v="5"/>
  </r>
  <r>
    <x v="12"/>
    <x v="2"/>
    <x v="1"/>
    <n v="0.66666666666666696"/>
    <x v="1"/>
  </r>
  <r>
    <x v="7"/>
    <x v="0"/>
    <x v="5"/>
    <n v="0.8"/>
    <x v="0"/>
  </r>
  <r>
    <x v="8"/>
    <x v="3"/>
    <x v="3"/>
    <n v="0.75"/>
    <x v="6"/>
  </r>
  <r>
    <x v="11"/>
    <x v="3"/>
    <x v="3"/>
    <n v="0.5"/>
    <x v="7"/>
  </r>
  <r>
    <x v="3"/>
    <x v="1"/>
    <x v="3"/>
    <n v="0.25"/>
    <x v="3"/>
  </r>
  <r>
    <x v="5"/>
    <x v="1"/>
    <x v="4"/>
    <n v="0.66666666666666696"/>
    <x v="5"/>
  </r>
  <r>
    <x v="11"/>
    <x v="3"/>
    <x v="3"/>
    <n v="0.5"/>
    <x v="7"/>
  </r>
  <r>
    <x v="12"/>
    <x v="2"/>
    <x v="1"/>
    <n v="0.66666666666666696"/>
    <x v="1"/>
  </r>
  <r>
    <x v="9"/>
    <x v="3"/>
    <x v="3"/>
    <n v="0.5"/>
    <x v="7"/>
  </r>
  <r>
    <x v="0"/>
    <x v="0"/>
    <x v="1"/>
    <n v="0.5"/>
    <x v="6"/>
  </r>
  <r>
    <x v="1"/>
    <x v="1"/>
    <x v="1"/>
    <n v="0.66666666666666696"/>
    <x v="1"/>
  </r>
  <r>
    <x v="0"/>
    <x v="0"/>
    <x v="0"/>
    <n v="0.5"/>
    <x v="0"/>
  </r>
  <r>
    <x v="12"/>
    <x v="2"/>
    <x v="1"/>
    <n v="0.66666666666666696"/>
    <x v="1"/>
  </r>
  <r>
    <x v="11"/>
    <x v="3"/>
    <x v="3"/>
    <n v="0.5"/>
    <x v="7"/>
  </r>
  <r>
    <x v="1"/>
    <x v="1"/>
    <x v="1"/>
    <n v="0.66666666666666696"/>
    <x v="1"/>
  </r>
  <r>
    <x v="9"/>
    <x v="3"/>
    <x v="8"/>
    <n v="0.5"/>
    <x v="10"/>
  </r>
  <r>
    <x v="1"/>
    <x v="1"/>
    <x v="1"/>
    <n v="0.66666666666666696"/>
    <x v="1"/>
  </r>
  <r>
    <x v="7"/>
    <x v="0"/>
    <x v="5"/>
    <n v="0.8"/>
    <x v="0"/>
  </r>
  <r>
    <x v="4"/>
    <x v="0"/>
    <x v="1"/>
    <n v="0.83333333333333304"/>
    <x v="4"/>
  </r>
  <r>
    <x v="1"/>
    <x v="1"/>
    <x v="1"/>
    <n v="0.66666666666666696"/>
    <x v="1"/>
  </r>
  <r>
    <x v="12"/>
    <x v="2"/>
    <x v="1"/>
    <n v="0.66666666666666696"/>
    <x v="1"/>
  </r>
  <r>
    <x v="11"/>
    <x v="3"/>
    <x v="3"/>
    <n v="0.5"/>
    <x v="7"/>
  </r>
  <r>
    <x v="4"/>
    <x v="0"/>
    <x v="1"/>
    <n v="0.83333333333333304"/>
    <x v="4"/>
  </r>
  <r>
    <x v="5"/>
    <x v="1"/>
    <x v="4"/>
    <n v="0.66666666666666696"/>
    <x v="5"/>
  </r>
  <r>
    <x v="7"/>
    <x v="0"/>
    <x v="5"/>
    <n v="0.8"/>
    <x v="0"/>
  </r>
  <r>
    <x v="3"/>
    <x v="1"/>
    <x v="3"/>
    <n v="0.25"/>
    <x v="3"/>
  </r>
  <r>
    <x v="2"/>
    <x v="1"/>
    <x v="2"/>
    <n v="0.8"/>
    <x v="2"/>
  </r>
  <r>
    <x v="2"/>
    <x v="1"/>
    <x v="2"/>
    <n v="0.8"/>
    <x v="2"/>
  </r>
  <r>
    <x v="12"/>
    <x v="2"/>
    <x v="1"/>
    <n v="0.66666666666666696"/>
    <x v="1"/>
  </r>
  <r>
    <x v="2"/>
    <x v="1"/>
    <x v="2"/>
    <n v="0.8"/>
    <x v="2"/>
  </r>
  <r>
    <x v="4"/>
    <x v="0"/>
    <x v="1"/>
    <n v="0.83333333333333304"/>
    <x v="4"/>
  </r>
  <r>
    <x v="9"/>
    <x v="3"/>
    <x v="3"/>
    <n v="0.5"/>
    <x v="7"/>
  </r>
  <r>
    <x v="4"/>
    <x v="0"/>
    <x v="1"/>
    <n v="0.83333333333333304"/>
    <x v="4"/>
  </r>
  <r>
    <x v="12"/>
    <x v="2"/>
    <x v="1"/>
    <n v="0.66666666666666696"/>
    <x v="1"/>
  </r>
  <r>
    <x v="3"/>
    <x v="1"/>
    <x v="3"/>
    <n v="0.25"/>
    <x v="3"/>
  </r>
  <r>
    <x v="3"/>
    <x v="1"/>
    <x v="3"/>
    <n v="0.25"/>
    <x v="3"/>
  </r>
  <r>
    <x v="12"/>
    <x v="2"/>
    <x v="1"/>
    <n v="0.66666666666666696"/>
    <x v="1"/>
  </r>
  <r>
    <x v="3"/>
    <x v="1"/>
    <x v="3"/>
    <n v="0.25"/>
    <x v="3"/>
  </r>
  <r>
    <x v="11"/>
    <x v="3"/>
    <x v="3"/>
    <n v="0.5"/>
    <x v="7"/>
  </r>
  <r>
    <x v="8"/>
    <x v="3"/>
    <x v="3"/>
    <n v="0.75"/>
    <x v="6"/>
  </r>
  <r>
    <x v="0"/>
    <x v="0"/>
    <x v="0"/>
    <n v="0.5"/>
    <x v="0"/>
  </r>
  <r>
    <x v="12"/>
    <x v="2"/>
    <x v="1"/>
    <n v="0.66666666666666696"/>
    <x v="1"/>
  </r>
  <r>
    <x v="10"/>
    <x v="1"/>
    <x v="1"/>
    <n v="0.5"/>
    <x v="6"/>
  </r>
  <r>
    <x v="4"/>
    <x v="0"/>
    <x v="1"/>
    <n v="0.83333333333333304"/>
    <x v="4"/>
  </r>
  <r>
    <x v="0"/>
    <x v="0"/>
    <x v="0"/>
    <n v="0.5"/>
    <x v="0"/>
  </r>
  <r>
    <x v="1"/>
    <x v="1"/>
    <x v="1"/>
    <n v="0.66666666666666696"/>
    <x v="1"/>
  </r>
  <r>
    <x v="8"/>
    <x v="3"/>
    <x v="3"/>
    <n v="0.75"/>
    <x v="6"/>
  </r>
  <r>
    <x v="2"/>
    <x v="1"/>
    <x v="2"/>
    <n v="0.8"/>
    <x v="2"/>
  </r>
  <r>
    <x v="1"/>
    <x v="1"/>
    <x v="1"/>
    <n v="0.66666666666666696"/>
    <x v="1"/>
  </r>
  <r>
    <x v="7"/>
    <x v="0"/>
    <x v="5"/>
    <n v="0.8"/>
    <x v="0"/>
  </r>
  <r>
    <x v="3"/>
    <x v="1"/>
    <x v="3"/>
    <n v="0.25"/>
    <x v="3"/>
  </r>
  <r>
    <x v="5"/>
    <x v="1"/>
    <x v="4"/>
    <n v="0.66666666666666696"/>
    <x v="5"/>
  </r>
  <r>
    <x v="5"/>
    <x v="1"/>
    <x v="4"/>
    <n v="0.66666666666666696"/>
    <x v="5"/>
  </r>
  <r>
    <x v="10"/>
    <x v="1"/>
    <x v="1"/>
    <n v="0.5"/>
    <x v="6"/>
  </r>
  <r>
    <x v="1"/>
    <x v="1"/>
    <x v="1"/>
    <n v="0.66666666666666696"/>
    <x v="1"/>
  </r>
  <r>
    <x v="10"/>
    <x v="1"/>
    <x v="1"/>
    <n v="0.5"/>
    <x v="6"/>
  </r>
  <r>
    <x v="1"/>
    <x v="1"/>
    <x v="1"/>
    <n v="0.66666666666666696"/>
    <x v="1"/>
  </r>
  <r>
    <x v="5"/>
    <x v="1"/>
    <x v="4"/>
    <n v="0.66666666666666696"/>
    <x v="5"/>
  </r>
  <r>
    <x v="10"/>
    <x v="1"/>
    <x v="1"/>
    <n v="0.5"/>
    <x v="6"/>
  </r>
  <r>
    <x v="13"/>
    <x v="2"/>
    <x v="1"/>
    <n v="0.83333333333333304"/>
    <x v="4"/>
  </r>
  <r>
    <x v="2"/>
    <x v="1"/>
    <x v="2"/>
    <n v="0.8"/>
    <x v="2"/>
  </r>
  <r>
    <x v="2"/>
    <x v="1"/>
    <x v="2"/>
    <n v="0.8"/>
    <x v="2"/>
  </r>
  <r>
    <x v="4"/>
    <x v="0"/>
    <x v="1"/>
    <n v="0.83333333333333304"/>
    <x v="4"/>
  </r>
  <r>
    <x v="1"/>
    <x v="1"/>
    <x v="1"/>
    <n v="0.66666666666666696"/>
    <x v="1"/>
  </r>
  <r>
    <x v="3"/>
    <x v="1"/>
    <x v="3"/>
    <n v="0.25"/>
    <x v="3"/>
  </r>
  <r>
    <x v="13"/>
    <x v="2"/>
    <x v="1"/>
    <n v="0.83333333333333304"/>
    <x v="4"/>
  </r>
  <r>
    <x v="3"/>
    <x v="1"/>
    <x v="3"/>
    <n v="0.25"/>
    <x v="3"/>
  </r>
  <r>
    <x v="2"/>
    <x v="1"/>
    <x v="2"/>
    <n v="0.8"/>
    <x v="2"/>
  </r>
  <r>
    <x v="7"/>
    <x v="0"/>
    <x v="5"/>
    <n v="0.8"/>
    <x v="0"/>
  </r>
  <r>
    <x v="10"/>
    <x v="1"/>
    <x v="1"/>
    <n v="0.5"/>
    <x v="6"/>
  </r>
  <r>
    <x v="11"/>
    <x v="3"/>
    <x v="3"/>
    <n v="0.5"/>
    <x v="7"/>
  </r>
  <r>
    <x v="10"/>
    <x v="1"/>
    <x v="1"/>
    <n v="0.5"/>
    <x v="6"/>
  </r>
  <r>
    <x v="9"/>
    <x v="3"/>
    <x v="3"/>
    <n v="0.5"/>
    <x v="7"/>
  </r>
  <r>
    <x v="13"/>
    <x v="2"/>
    <x v="1"/>
    <n v="0.83333333333333304"/>
    <x v="4"/>
  </r>
  <r>
    <x v="2"/>
    <x v="1"/>
    <x v="2"/>
    <n v="0.8"/>
    <x v="2"/>
  </r>
  <r>
    <x v="13"/>
    <x v="2"/>
    <x v="1"/>
    <n v="0.83333333333333304"/>
    <x v="4"/>
  </r>
  <r>
    <x v="7"/>
    <x v="0"/>
    <x v="5"/>
    <n v="0.8"/>
    <x v="0"/>
  </r>
  <r>
    <x v="8"/>
    <x v="3"/>
    <x v="3"/>
    <n v="0.75"/>
    <x v="6"/>
  </r>
  <r>
    <x v="13"/>
    <x v="2"/>
    <x v="1"/>
    <n v="0.83333333333333304"/>
    <x v="4"/>
  </r>
  <r>
    <x v="11"/>
    <x v="3"/>
    <x v="3"/>
    <n v="0.5"/>
    <x v="7"/>
  </r>
  <r>
    <x v="8"/>
    <x v="3"/>
    <x v="3"/>
    <n v="0.75"/>
    <x v="6"/>
  </r>
  <r>
    <x v="10"/>
    <x v="1"/>
    <x v="1"/>
    <n v="0.5"/>
    <x v="6"/>
  </r>
  <r>
    <x v="9"/>
    <x v="3"/>
    <x v="3"/>
    <n v="0.5"/>
    <x v="7"/>
  </r>
  <r>
    <x v="0"/>
    <x v="0"/>
    <x v="0"/>
    <n v="0.5"/>
    <x v="0"/>
  </r>
  <r>
    <x v="13"/>
    <x v="2"/>
    <x v="1"/>
    <n v="0.83333333333333304"/>
    <x v="4"/>
  </r>
  <r>
    <x v="13"/>
    <x v="2"/>
    <x v="1"/>
    <n v="0.83333333333333304"/>
    <x v="4"/>
  </r>
  <r>
    <x v="13"/>
    <x v="2"/>
    <x v="1"/>
    <n v="0.83333333333333304"/>
    <x v="4"/>
  </r>
  <r>
    <x v="2"/>
    <x v="1"/>
    <x v="2"/>
    <n v="0.8"/>
    <x v="2"/>
  </r>
  <r>
    <x v="13"/>
    <x v="2"/>
    <x v="1"/>
    <n v="0.83333333333333304"/>
    <x v="4"/>
  </r>
  <r>
    <x v="5"/>
    <x v="1"/>
    <x v="4"/>
    <n v="0.66666666666666696"/>
    <x v="5"/>
  </r>
  <r>
    <x v="7"/>
    <x v="0"/>
    <x v="5"/>
    <n v="0.8"/>
    <x v="0"/>
  </r>
  <r>
    <x v="9"/>
    <x v="3"/>
    <x v="3"/>
    <n v="0.5"/>
    <x v="7"/>
  </r>
  <r>
    <x v="4"/>
    <x v="0"/>
    <x v="1"/>
    <n v="0.83333333333333304"/>
    <x v="4"/>
  </r>
  <r>
    <x v="3"/>
    <x v="1"/>
    <x v="3"/>
    <n v="0.25"/>
    <x v="3"/>
  </r>
  <r>
    <x v="13"/>
    <x v="2"/>
    <x v="1"/>
    <n v="0.83333333333333304"/>
    <x v="4"/>
  </r>
  <r>
    <x v="11"/>
    <x v="3"/>
    <x v="3"/>
    <n v="0.5"/>
    <x v="7"/>
  </r>
  <r>
    <x v="3"/>
    <x v="1"/>
    <x v="3"/>
    <n v="0.25"/>
    <x v="3"/>
  </r>
  <r>
    <x v="4"/>
    <x v="0"/>
    <x v="1"/>
    <n v="0.83333333333333304"/>
    <x v="4"/>
  </r>
  <r>
    <x v="2"/>
    <x v="1"/>
    <x v="2"/>
    <n v="0.8"/>
    <x v="2"/>
  </r>
  <r>
    <x v="0"/>
    <x v="0"/>
    <x v="0"/>
    <n v="0.5"/>
    <x v="0"/>
  </r>
  <r>
    <x v="3"/>
    <x v="1"/>
    <x v="3"/>
    <n v="0.25"/>
    <x v="3"/>
  </r>
  <r>
    <x v="13"/>
    <x v="2"/>
    <x v="1"/>
    <n v="0.83333333333333304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x v="0"/>
    <n v="4"/>
    <n v="0.5"/>
    <n v="2"/>
    <n v="200"/>
  </r>
  <r>
    <x v="1"/>
    <x v="1"/>
    <n v="3"/>
    <n v="0.66666666666666696"/>
    <n v="2.0000000000000009"/>
    <n v="320"/>
  </r>
  <r>
    <x v="2"/>
    <x v="1"/>
    <n v="5"/>
    <n v="0.8"/>
    <n v="4"/>
    <n v="500"/>
  </r>
  <r>
    <x v="3"/>
    <x v="1"/>
    <n v="2"/>
    <n v="0.25"/>
    <n v="0.5"/>
    <n v="480"/>
  </r>
  <r>
    <x v="4"/>
    <x v="0"/>
    <n v="3"/>
    <n v="0.83333333333333304"/>
    <n v="2.4999999999999991"/>
    <n v="0"/>
  </r>
  <r>
    <x v="5"/>
    <x v="1"/>
    <n v="1.5"/>
    <n v="0.66666666666666696"/>
    <n v="1.0000000000000004"/>
    <n v="265"/>
  </r>
  <r>
    <x v="6"/>
    <x v="2"/>
    <n v="3"/>
    <n v="0.5"/>
    <n v="1.5"/>
    <n v="300"/>
  </r>
  <r>
    <x v="7"/>
    <x v="0"/>
    <n v="2.5"/>
    <n v="0.8"/>
    <n v="2"/>
    <n v="120"/>
  </r>
  <r>
    <x v="8"/>
    <x v="3"/>
    <n v="2"/>
    <n v="0.75"/>
    <n v="1.5"/>
    <n v="255"/>
  </r>
  <r>
    <x v="1"/>
    <x v="1"/>
    <n v="3"/>
    <n v="0.66666666666666696"/>
    <n v="2.0000000000000009"/>
    <n v="320"/>
  </r>
  <r>
    <x v="0"/>
    <x v="0"/>
    <n v="2"/>
    <n v="0.5"/>
    <n v="1"/>
    <n v="200"/>
  </r>
  <r>
    <x v="5"/>
    <x v="1"/>
    <n v="1.5"/>
    <n v="0.66666666666666696"/>
    <n v="1.0000000000000004"/>
    <n v="265"/>
  </r>
  <r>
    <x v="9"/>
    <x v="3"/>
    <n v="2"/>
    <n v="0.5"/>
    <n v="1"/>
    <n v="280"/>
  </r>
  <r>
    <x v="6"/>
    <x v="2"/>
    <n v="3"/>
    <n v="0.5"/>
    <n v="1.5"/>
    <n v="300"/>
  </r>
  <r>
    <x v="10"/>
    <x v="1"/>
    <n v="3"/>
    <n v="0.5"/>
    <n v="1.5"/>
    <n v="560"/>
  </r>
  <r>
    <x v="3"/>
    <x v="1"/>
    <n v="1"/>
    <n v="0.25"/>
    <n v="0.25"/>
    <n v="480"/>
  </r>
  <r>
    <x v="0"/>
    <x v="0"/>
    <n v="4"/>
    <n v="0.5"/>
    <n v="2"/>
    <n v="200"/>
  </r>
  <r>
    <x v="7"/>
    <x v="0"/>
    <n v="2.5"/>
    <n v="0.8"/>
    <n v="2"/>
    <n v="120"/>
  </r>
  <r>
    <x v="0"/>
    <x v="0"/>
    <n v="4"/>
    <n v="0.5"/>
    <n v="2"/>
    <n v="200"/>
  </r>
  <r>
    <x v="1"/>
    <x v="1"/>
    <n v="3"/>
    <n v="0.66666666666666696"/>
    <n v="2.0000000000000009"/>
    <n v="320"/>
  </r>
  <r>
    <x v="11"/>
    <x v="3"/>
    <n v="2"/>
    <n v="0.5"/>
    <n v="1"/>
    <n v="300"/>
  </r>
  <r>
    <x v="2"/>
    <x v="1"/>
    <n v="5"/>
    <n v="0.8"/>
    <n v="4"/>
    <n v="500"/>
  </r>
  <r>
    <x v="1"/>
    <x v="1"/>
    <n v="3"/>
    <n v="0.66666666666666696"/>
    <n v="2.0000000000000009"/>
    <n v="320"/>
  </r>
  <r>
    <x v="10"/>
    <x v="1"/>
    <n v="3"/>
    <n v="0.5"/>
    <n v="1.5"/>
    <n v="560"/>
  </r>
  <r>
    <x v="10"/>
    <x v="1"/>
    <n v="3"/>
    <n v="0.5"/>
    <n v="1.5"/>
    <n v="560"/>
  </r>
  <r>
    <x v="6"/>
    <x v="2"/>
    <n v="3"/>
    <n v="0.5"/>
    <n v="1.5"/>
    <n v="300"/>
  </r>
  <r>
    <x v="8"/>
    <x v="3"/>
    <n v="2"/>
    <n v="0.75"/>
    <n v="1.5"/>
    <n v="255"/>
  </r>
  <r>
    <x v="1"/>
    <x v="1"/>
    <n v="3"/>
    <n v="0.66666666666666696"/>
    <n v="2.0000000000000009"/>
    <n v="320"/>
  </r>
  <r>
    <x v="0"/>
    <x v="0"/>
    <n v="4"/>
    <n v="0.5"/>
    <n v="2"/>
    <n v="200"/>
  </r>
  <r>
    <x v="6"/>
    <x v="2"/>
    <n v="3"/>
    <n v="0.5"/>
    <n v="1.5"/>
    <n v="300"/>
  </r>
  <r>
    <x v="7"/>
    <x v="0"/>
    <n v="2.5"/>
    <n v="0.8"/>
    <n v="2"/>
    <n v="120"/>
  </r>
  <r>
    <x v="11"/>
    <x v="3"/>
    <n v="2"/>
    <n v="0.5"/>
    <n v="1"/>
    <n v="300"/>
  </r>
  <r>
    <x v="6"/>
    <x v="2"/>
    <n v="3"/>
    <n v="0.5"/>
    <n v="1.5"/>
    <n v="300"/>
  </r>
  <r>
    <x v="9"/>
    <x v="3"/>
    <n v="2"/>
    <n v="0.5"/>
    <n v="1"/>
    <n v="280"/>
  </r>
  <r>
    <x v="10"/>
    <x v="1"/>
    <n v="3"/>
    <n v="0.5"/>
    <n v="1.5"/>
    <n v="560"/>
  </r>
  <r>
    <x v="4"/>
    <x v="0"/>
    <n v="3"/>
    <n v="0.83333333333333304"/>
    <n v="2.4999999999999991"/>
    <n v="0"/>
  </r>
  <r>
    <x v="4"/>
    <x v="0"/>
    <n v="3"/>
    <n v="0.83333333333333304"/>
    <n v="2.4999999999999991"/>
    <n v="0"/>
  </r>
  <r>
    <x v="2"/>
    <x v="1"/>
    <n v="5"/>
    <n v="0.8"/>
    <n v="4"/>
    <n v="500"/>
  </r>
  <r>
    <x v="8"/>
    <x v="3"/>
    <n v="2"/>
    <n v="0.75"/>
    <n v="1.5"/>
    <n v="255"/>
  </r>
  <r>
    <x v="6"/>
    <x v="2"/>
    <n v="3"/>
    <n v="0.5"/>
    <n v="1.5"/>
    <n v="300"/>
  </r>
  <r>
    <x v="9"/>
    <x v="3"/>
    <n v="2"/>
    <n v="0.5"/>
    <n v="1"/>
    <n v="280"/>
  </r>
  <r>
    <x v="0"/>
    <x v="0"/>
    <n v="4"/>
    <n v="0.5"/>
    <n v="2"/>
    <n v="200"/>
  </r>
  <r>
    <x v="5"/>
    <x v="1"/>
    <n v="1.5"/>
    <n v="0.66666666666666696"/>
    <n v="1.0000000000000004"/>
    <n v="265"/>
  </r>
  <r>
    <x v="8"/>
    <x v="3"/>
    <n v="2"/>
    <n v="0.75"/>
    <n v="1.5"/>
    <n v="255"/>
  </r>
  <r>
    <x v="3"/>
    <x v="1"/>
    <n v="2"/>
    <n v="0.25"/>
    <n v="0.5"/>
    <n v="480"/>
  </r>
  <r>
    <x v="1"/>
    <x v="1"/>
    <n v="3"/>
    <n v="0.66666666666666696"/>
    <n v="2.0000000000000009"/>
    <n v="320"/>
  </r>
  <r>
    <x v="6"/>
    <x v="2"/>
    <n v="3"/>
    <n v="0.5"/>
    <n v="1.5"/>
    <n v="300"/>
  </r>
  <r>
    <x v="9"/>
    <x v="3"/>
    <n v="2"/>
    <n v="0.5"/>
    <n v="1"/>
    <n v="280"/>
  </r>
  <r>
    <x v="10"/>
    <x v="1"/>
    <n v="3"/>
    <n v="0.5"/>
    <n v="1.5"/>
    <n v="560"/>
  </r>
  <r>
    <x v="2"/>
    <x v="1"/>
    <n v="5"/>
    <n v="0.8"/>
    <n v="4"/>
    <n v="500"/>
  </r>
  <r>
    <x v="8"/>
    <x v="3"/>
    <n v="2"/>
    <n v="0.75"/>
    <n v="1.5"/>
    <n v="255"/>
  </r>
  <r>
    <x v="5"/>
    <x v="1"/>
    <n v="1.5"/>
    <n v="0.66666666666666696"/>
    <n v="1.0000000000000004"/>
    <n v="265"/>
  </r>
  <r>
    <x v="2"/>
    <x v="1"/>
    <n v="5"/>
    <n v="0.8"/>
    <n v="4"/>
    <n v="500"/>
  </r>
  <r>
    <x v="0"/>
    <x v="0"/>
    <n v="4"/>
    <n v="0.5"/>
    <n v="2"/>
    <n v="200"/>
  </r>
  <r>
    <x v="6"/>
    <x v="2"/>
    <n v="3"/>
    <n v="0.5"/>
    <n v="1.5"/>
    <n v="300"/>
  </r>
  <r>
    <x v="11"/>
    <x v="3"/>
    <n v="2"/>
    <n v="0.5"/>
    <n v="1"/>
    <n v="300"/>
  </r>
  <r>
    <x v="9"/>
    <x v="3"/>
    <n v="2"/>
    <n v="0.5"/>
    <n v="1"/>
    <n v="280"/>
  </r>
  <r>
    <x v="0"/>
    <x v="0"/>
    <n v="4"/>
    <n v="0.5"/>
    <n v="2"/>
    <n v="200"/>
  </r>
  <r>
    <x v="9"/>
    <x v="3"/>
    <n v="2"/>
    <n v="0.5"/>
    <n v="1"/>
    <n v="280"/>
  </r>
  <r>
    <x v="0"/>
    <x v="0"/>
    <n v="4"/>
    <n v="0.5"/>
    <n v="2"/>
    <n v="200"/>
  </r>
  <r>
    <x v="7"/>
    <x v="0"/>
    <n v="25"/>
    <n v="0.8"/>
    <n v="20"/>
    <n v="120"/>
  </r>
  <r>
    <x v="5"/>
    <x v="1"/>
    <n v="1.5"/>
    <n v="0.66666666666666696"/>
    <n v="1.0000000000000004"/>
    <n v="265"/>
  </r>
  <r>
    <x v="3"/>
    <x v="1"/>
    <n v="2"/>
    <n v="0.25"/>
    <n v="0.5"/>
    <n v="480"/>
  </r>
  <r>
    <x v="7"/>
    <x v="0"/>
    <n v="2.5"/>
    <n v="0.8"/>
    <n v="2"/>
    <n v="120"/>
  </r>
  <r>
    <x v="11"/>
    <x v="3"/>
    <n v="2"/>
    <n v="0.5"/>
    <n v="1"/>
    <n v="300"/>
  </r>
  <r>
    <x v="6"/>
    <x v="2"/>
    <n v="3"/>
    <n v="0.5"/>
    <n v="1.5"/>
    <n v="300"/>
  </r>
  <r>
    <x v="7"/>
    <x v="0"/>
    <n v="2.5"/>
    <n v="0.8"/>
    <n v="2"/>
    <n v="120"/>
  </r>
  <r>
    <x v="8"/>
    <x v="3"/>
    <n v="2"/>
    <n v="0.75"/>
    <n v="1.5"/>
    <n v="255"/>
  </r>
  <r>
    <x v="0"/>
    <x v="0"/>
    <n v="4"/>
    <n v="0.5"/>
    <n v="2"/>
    <n v="200"/>
  </r>
  <r>
    <x v="6"/>
    <x v="2"/>
    <n v="3"/>
    <n v="0.5"/>
    <n v="1.5"/>
    <n v="300"/>
  </r>
  <r>
    <x v="0"/>
    <x v="0"/>
    <n v="4"/>
    <n v="0.5"/>
    <n v="2"/>
    <n v="200"/>
  </r>
  <r>
    <x v="10"/>
    <x v="1"/>
    <n v="3"/>
    <n v="0.5"/>
    <n v="1.5"/>
    <n v="560"/>
  </r>
  <r>
    <x v="10"/>
    <x v="1"/>
    <n v="3"/>
    <n v="0.5"/>
    <n v="1.5"/>
    <n v="560"/>
  </r>
  <r>
    <x v="10"/>
    <x v="1"/>
    <n v="3"/>
    <n v="0.5"/>
    <n v="1.5"/>
    <n v="560"/>
  </r>
  <r>
    <x v="11"/>
    <x v="3"/>
    <n v="2"/>
    <n v="0.5"/>
    <n v="1"/>
    <n v="300"/>
  </r>
  <r>
    <x v="5"/>
    <x v="1"/>
    <n v="1.5"/>
    <n v="0.66666666666666696"/>
    <n v="1.0000000000000004"/>
    <n v="265"/>
  </r>
  <r>
    <x v="3"/>
    <x v="1"/>
    <n v="2"/>
    <n v="0.25"/>
    <n v="0.5"/>
    <n v="480"/>
  </r>
  <r>
    <x v="4"/>
    <x v="0"/>
    <n v="3"/>
    <n v="0.83333333333333304"/>
    <n v="2.4999999999999991"/>
    <n v="0"/>
  </r>
  <r>
    <x v="1"/>
    <x v="1"/>
    <n v="3"/>
    <n v="0.66666666666666696"/>
    <n v="2.0000000000000009"/>
    <n v="320"/>
  </r>
  <r>
    <x v="6"/>
    <x v="2"/>
    <n v="3"/>
    <n v="0.5"/>
    <n v="1.5"/>
    <n v="300"/>
  </r>
  <r>
    <x v="2"/>
    <x v="1"/>
    <n v="5"/>
    <n v="0.8"/>
    <n v="4"/>
    <n v="500"/>
  </r>
  <r>
    <x v="5"/>
    <x v="1"/>
    <n v="1.5"/>
    <n v="0.66666666666666696"/>
    <n v="1.0000000000000004"/>
    <n v="265"/>
  </r>
  <r>
    <x v="12"/>
    <x v="2"/>
    <n v="3"/>
    <n v="0.66666666666666696"/>
    <n v="2.0000000000000009"/>
    <n v="240"/>
  </r>
  <r>
    <x v="8"/>
    <x v="3"/>
    <n v="2"/>
    <n v="0.75"/>
    <n v="1.5"/>
    <n v="255"/>
  </r>
  <r>
    <x v="9"/>
    <x v="3"/>
    <n v="2"/>
    <n v="0.5"/>
    <n v="1"/>
    <n v="280"/>
  </r>
  <r>
    <x v="0"/>
    <x v="0"/>
    <n v="4"/>
    <n v="0.5"/>
    <n v="2"/>
    <n v="200"/>
  </r>
  <r>
    <x v="5"/>
    <x v="1"/>
    <n v="1.5"/>
    <n v="0.66666666666666696"/>
    <n v="1.0000000000000004"/>
    <n v="265"/>
  </r>
  <r>
    <x v="12"/>
    <x v="2"/>
    <n v="3"/>
    <n v="0.66666666666666696"/>
    <n v="2.0000000000000009"/>
    <n v="240"/>
  </r>
  <r>
    <x v="5"/>
    <x v="1"/>
    <n v="1.5"/>
    <n v="0.66666666666666696"/>
    <n v="1.0000000000000004"/>
    <n v="265"/>
  </r>
  <r>
    <x v="12"/>
    <x v="2"/>
    <n v="3"/>
    <n v="0.66666666666666696"/>
    <n v="2.0000000000000009"/>
    <n v="240"/>
  </r>
  <r>
    <x v="7"/>
    <x v="0"/>
    <n v="2.5"/>
    <n v="0.8"/>
    <n v="2"/>
    <n v="120"/>
  </r>
  <r>
    <x v="8"/>
    <x v="3"/>
    <n v="2"/>
    <n v="0.75"/>
    <n v="1.5"/>
    <n v="255"/>
  </r>
  <r>
    <x v="11"/>
    <x v="3"/>
    <n v="2"/>
    <n v="0.5"/>
    <n v="1"/>
    <n v="300"/>
  </r>
  <r>
    <x v="3"/>
    <x v="1"/>
    <n v="2"/>
    <n v="0.25"/>
    <n v="0.5"/>
    <n v="480"/>
  </r>
  <r>
    <x v="5"/>
    <x v="1"/>
    <n v="1.5"/>
    <n v="0.66666666666666696"/>
    <n v="1.0000000000000004"/>
    <n v="265"/>
  </r>
  <r>
    <x v="11"/>
    <x v="3"/>
    <n v="2"/>
    <n v="0.5"/>
    <n v="1"/>
    <n v="300"/>
  </r>
  <r>
    <x v="12"/>
    <x v="2"/>
    <n v="3"/>
    <n v="0.66666666666666696"/>
    <n v="2.0000000000000009"/>
    <n v="240"/>
  </r>
  <r>
    <x v="9"/>
    <x v="3"/>
    <n v="2"/>
    <n v="0.5"/>
    <n v="1"/>
    <n v="280"/>
  </r>
  <r>
    <x v="0"/>
    <x v="0"/>
    <n v="3"/>
    <n v="0.5"/>
    <n v="1.5"/>
    <n v="200"/>
  </r>
  <r>
    <x v="1"/>
    <x v="1"/>
    <n v="3"/>
    <n v="0.66666666666666696"/>
    <n v="2.0000000000000009"/>
    <n v="320"/>
  </r>
  <r>
    <x v="0"/>
    <x v="0"/>
    <n v="4"/>
    <n v="0.5"/>
    <n v="2"/>
    <n v="200"/>
  </r>
  <r>
    <x v="12"/>
    <x v="2"/>
    <n v="3"/>
    <n v="0.66666666666666696"/>
    <n v="2.0000000000000009"/>
    <n v="240"/>
  </r>
  <r>
    <x v="11"/>
    <x v="3"/>
    <n v="2"/>
    <n v="0.5"/>
    <n v="1"/>
    <n v="300"/>
  </r>
  <r>
    <x v="1"/>
    <x v="1"/>
    <n v="3"/>
    <n v="0.66666666666666696"/>
    <n v="2.0000000000000009"/>
    <n v="320"/>
  </r>
  <r>
    <x v="9"/>
    <x v="3"/>
    <n v="20"/>
    <n v="0.5"/>
    <n v="10"/>
    <n v="280"/>
  </r>
  <r>
    <x v="1"/>
    <x v="1"/>
    <n v="3"/>
    <n v="0.66666666666666696"/>
    <n v="2.0000000000000009"/>
    <n v="320"/>
  </r>
  <r>
    <x v="7"/>
    <x v="0"/>
    <n v="2.5"/>
    <n v="0.8"/>
    <n v="2"/>
    <n v="120"/>
  </r>
  <r>
    <x v="4"/>
    <x v="0"/>
    <n v="3"/>
    <n v="0.83333333333333304"/>
    <n v="2.4999999999999991"/>
    <n v="0"/>
  </r>
  <r>
    <x v="1"/>
    <x v="1"/>
    <n v="3"/>
    <n v="0.66666666666666696"/>
    <n v="2.0000000000000009"/>
    <n v="320"/>
  </r>
  <r>
    <x v="12"/>
    <x v="2"/>
    <n v="3"/>
    <n v="0.66666666666666696"/>
    <n v="2.0000000000000009"/>
    <n v="240"/>
  </r>
  <r>
    <x v="11"/>
    <x v="3"/>
    <n v="2"/>
    <n v="0.5"/>
    <n v="1"/>
    <n v="300"/>
  </r>
  <r>
    <x v="4"/>
    <x v="0"/>
    <n v="3"/>
    <n v="0.83333333333333304"/>
    <n v="2.4999999999999991"/>
    <n v="0"/>
  </r>
  <r>
    <x v="5"/>
    <x v="1"/>
    <n v="1.5"/>
    <n v="0.66666666666666696"/>
    <n v="1.0000000000000004"/>
    <n v="265"/>
  </r>
  <r>
    <x v="7"/>
    <x v="0"/>
    <n v="2.5"/>
    <n v="0.8"/>
    <n v="2"/>
    <n v="120"/>
  </r>
  <r>
    <x v="3"/>
    <x v="1"/>
    <n v="2"/>
    <n v="0.25"/>
    <n v="0.5"/>
    <n v="480"/>
  </r>
  <r>
    <x v="2"/>
    <x v="1"/>
    <n v="5"/>
    <n v="0.8"/>
    <n v="4"/>
    <n v="500"/>
  </r>
  <r>
    <x v="2"/>
    <x v="1"/>
    <n v="5"/>
    <n v="0.8"/>
    <n v="4"/>
    <n v="500"/>
  </r>
  <r>
    <x v="12"/>
    <x v="2"/>
    <n v="3"/>
    <n v="0.66666666666666696"/>
    <n v="2.0000000000000009"/>
    <n v="240"/>
  </r>
  <r>
    <x v="2"/>
    <x v="1"/>
    <n v="5"/>
    <n v="0.8"/>
    <n v="4"/>
    <n v="500"/>
  </r>
  <r>
    <x v="4"/>
    <x v="0"/>
    <n v="3"/>
    <n v="0.83333333333333304"/>
    <n v="2.4999999999999991"/>
    <n v="0"/>
  </r>
  <r>
    <x v="9"/>
    <x v="3"/>
    <n v="2"/>
    <n v="0.5"/>
    <n v="1"/>
    <n v="280"/>
  </r>
  <r>
    <x v="4"/>
    <x v="0"/>
    <n v="3"/>
    <n v="0.83333333333333304"/>
    <n v="2.4999999999999991"/>
    <n v="0"/>
  </r>
  <r>
    <x v="12"/>
    <x v="2"/>
    <n v="3"/>
    <n v="0.66666666666666696"/>
    <n v="2.0000000000000009"/>
    <n v="240"/>
  </r>
  <r>
    <x v="3"/>
    <x v="1"/>
    <n v="2"/>
    <n v="0.25"/>
    <n v="0.5"/>
    <n v="480"/>
  </r>
  <r>
    <x v="3"/>
    <x v="1"/>
    <n v="2"/>
    <n v="0.25"/>
    <n v="0.5"/>
    <n v="480"/>
  </r>
  <r>
    <x v="12"/>
    <x v="2"/>
    <n v="3"/>
    <n v="0.66666666666666696"/>
    <n v="2.0000000000000009"/>
    <n v="240"/>
  </r>
  <r>
    <x v="3"/>
    <x v="1"/>
    <n v="2"/>
    <n v="0.25"/>
    <n v="0.5"/>
    <n v="480"/>
  </r>
  <r>
    <x v="11"/>
    <x v="3"/>
    <n v="2"/>
    <n v="0.5"/>
    <n v="1"/>
    <n v="300"/>
  </r>
  <r>
    <x v="8"/>
    <x v="3"/>
    <n v="2"/>
    <n v="0.75"/>
    <n v="1.5"/>
    <n v="255"/>
  </r>
  <r>
    <x v="0"/>
    <x v="0"/>
    <n v="4"/>
    <n v="0.5"/>
    <n v="2"/>
    <n v="200"/>
  </r>
  <r>
    <x v="12"/>
    <x v="2"/>
    <n v="3"/>
    <n v="0.66666666666666696"/>
    <n v="2.0000000000000009"/>
    <n v="240"/>
  </r>
  <r>
    <x v="10"/>
    <x v="1"/>
    <n v="3"/>
    <n v="0.5"/>
    <n v="1.5"/>
    <n v="560"/>
  </r>
  <r>
    <x v="4"/>
    <x v="0"/>
    <n v="3"/>
    <n v="0.83333333333333304"/>
    <n v="2.4999999999999991"/>
    <n v="0"/>
  </r>
  <r>
    <x v="0"/>
    <x v="0"/>
    <n v="4"/>
    <n v="0.5"/>
    <n v="2"/>
    <n v="200"/>
  </r>
  <r>
    <x v="1"/>
    <x v="1"/>
    <n v="3"/>
    <n v="0.66666666666666696"/>
    <n v="2.0000000000000009"/>
    <n v="320"/>
  </r>
  <r>
    <x v="8"/>
    <x v="3"/>
    <n v="2"/>
    <n v="0.75"/>
    <n v="1.5"/>
    <n v="255"/>
  </r>
  <r>
    <x v="2"/>
    <x v="1"/>
    <n v="5"/>
    <n v="0.8"/>
    <n v="4"/>
    <n v="500"/>
  </r>
  <r>
    <x v="1"/>
    <x v="1"/>
    <n v="3"/>
    <n v="0.66666666666666696"/>
    <n v="2.0000000000000009"/>
    <n v="320"/>
  </r>
  <r>
    <x v="7"/>
    <x v="0"/>
    <n v="2.5"/>
    <n v="0.8"/>
    <n v="2"/>
    <n v="120"/>
  </r>
  <r>
    <x v="3"/>
    <x v="1"/>
    <n v="2"/>
    <n v="0.25"/>
    <n v="0.5"/>
    <n v="480"/>
  </r>
  <r>
    <x v="5"/>
    <x v="1"/>
    <n v="1.5"/>
    <n v="0.66666666666666696"/>
    <n v="1.0000000000000004"/>
    <n v="265"/>
  </r>
  <r>
    <x v="5"/>
    <x v="1"/>
    <n v="1.5"/>
    <n v="0.66666666666666696"/>
    <n v="1.0000000000000004"/>
    <n v="265"/>
  </r>
  <r>
    <x v="10"/>
    <x v="1"/>
    <n v="3"/>
    <n v="0.5"/>
    <n v="1.5"/>
    <n v="560"/>
  </r>
  <r>
    <x v="1"/>
    <x v="1"/>
    <n v="3"/>
    <n v="0.66666666666666696"/>
    <n v="2.0000000000000009"/>
    <n v="320"/>
  </r>
  <r>
    <x v="10"/>
    <x v="1"/>
    <n v="3"/>
    <n v="0.5"/>
    <n v="1.5"/>
    <n v="560"/>
  </r>
  <r>
    <x v="1"/>
    <x v="1"/>
    <n v="3"/>
    <n v="0.66666666666666696"/>
    <n v="2.0000000000000009"/>
    <n v="320"/>
  </r>
  <r>
    <x v="5"/>
    <x v="1"/>
    <n v="1.5"/>
    <n v="0.66666666666666696"/>
    <n v="1.0000000000000004"/>
    <n v="265"/>
  </r>
  <r>
    <x v="10"/>
    <x v="1"/>
    <n v="3"/>
    <n v="0.5"/>
    <n v="1.5"/>
    <n v="560"/>
  </r>
  <r>
    <x v="13"/>
    <x v="2"/>
    <n v="3"/>
    <n v="0.83333333333333304"/>
    <n v="2.4999999999999991"/>
    <n v="150"/>
  </r>
  <r>
    <x v="2"/>
    <x v="1"/>
    <n v="5"/>
    <n v="0.8"/>
    <n v="4"/>
    <n v="500"/>
  </r>
  <r>
    <x v="2"/>
    <x v="1"/>
    <n v="5"/>
    <n v="0.8"/>
    <n v="4"/>
    <n v="500"/>
  </r>
  <r>
    <x v="4"/>
    <x v="0"/>
    <n v="3"/>
    <n v="0.83333333333333304"/>
    <n v="2.4999999999999991"/>
    <n v="0"/>
  </r>
  <r>
    <x v="1"/>
    <x v="1"/>
    <n v="3"/>
    <n v="0.66666666666666696"/>
    <n v="2.0000000000000009"/>
    <n v="320"/>
  </r>
  <r>
    <x v="3"/>
    <x v="1"/>
    <n v="2"/>
    <n v="0.25"/>
    <n v="0.5"/>
    <n v="480"/>
  </r>
  <r>
    <x v="13"/>
    <x v="2"/>
    <n v="3"/>
    <n v="0.83333333333333304"/>
    <n v="2.4999999999999991"/>
    <n v="150"/>
  </r>
  <r>
    <x v="3"/>
    <x v="1"/>
    <n v="2"/>
    <n v="0.25"/>
    <n v="0.5"/>
    <n v="480"/>
  </r>
  <r>
    <x v="2"/>
    <x v="1"/>
    <n v="5"/>
    <n v="0.8"/>
    <n v="4"/>
    <n v="500"/>
  </r>
  <r>
    <x v="7"/>
    <x v="0"/>
    <n v="2.5"/>
    <n v="0.8"/>
    <n v="2"/>
    <n v="120"/>
  </r>
  <r>
    <x v="10"/>
    <x v="1"/>
    <n v="3"/>
    <n v="0.5"/>
    <n v="1.5"/>
    <n v="560"/>
  </r>
  <r>
    <x v="11"/>
    <x v="3"/>
    <n v="2"/>
    <n v="0.5"/>
    <n v="1"/>
    <n v="300"/>
  </r>
  <r>
    <x v="10"/>
    <x v="1"/>
    <n v="3"/>
    <n v="0.5"/>
    <n v="1.5"/>
    <n v="560"/>
  </r>
  <r>
    <x v="9"/>
    <x v="3"/>
    <n v="2"/>
    <n v="0.5"/>
    <n v="1"/>
    <n v="280"/>
  </r>
  <r>
    <x v="13"/>
    <x v="2"/>
    <n v="3"/>
    <n v="0.83333333333333304"/>
    <n v="2.4999999999999991"/>
    <n v="150"/>
  </r>
  <r>
    <x v="2"/>
    <x v="1"/>
    <n v="5"/>
    <n v="0.8"/>
    <n v="4"/>
    <n v="500"/>
  </r>
  <r>
    <x v="13"/>
    <x v="2"/>
    <n v="3"/>
    <n v="0.83333333333333304"/>
    <n v="2.4999999999999991"/>
    <n v="150"/>
  </r>
  <r>
    <x v="7"/>
    <x v="0"/>
    <n v="2.5"/>
    <n v="0.8"/>
    <n v="2"/>
    <n v="120"/>
  </r>
  <r>
    <x v="8"/>
    <x v="3"/>
    <n v="2"/>
    <n v="0.75"/>
    <n v="1.5"/>
    <n v="255"/>
  </r>
  <r>
    <x v="13"/>
    <x v="2"/>
    <n v="3"/>
    <n v="0.83333333333333304"/>
    <n v="2.4999999999999991"/>
    <n v="150"/>
  </r>
  <r>
    <x v="11"/>
    <x v="3"/>
    <n v="2"/>
    <n v="0.5"/>
    <n v="1"/>
    <n v="300"/>
  </r>
  <r>
    <x v="8"/>
    <x v="3"/>
    <n v="2"/>
    <n v="0.75"/>
    <n v="1.5"/>
    <n v="255"/>
  </r>
  <r>
    <x v="10"/>
    <x v="1"/>
    <n v="3"/>
    <n v="0.5"/>
    <n v="1.5"/>
    <n v="560"/>
  </r>
  <r>
    <x v="9"/>
    <x v="3"/>
    <n v="2"/>
    <n v="0.5"/>
    <n v="1"/>
    <n v="280"/>
  </r>
  <r>
    <x v="0"/>
    <x v="0"/>
    <n v="4"/>
    <n v="0.5"/>
    <n v="2"/>
    <n v="200"/>
  </r>
  <r>
    <x v="13"/>
    <x v="2"/>
    <n v="3"/>
    <n v="0.83333333333333304"/>
    <n v="2.4999999999999991"/>
    <n v="150"/>
  </r>
  <r>
    <x v="13"/>
    <x v="2"/>
    <n v="3"/>
    <n v="0.83333333333333304"/>
    <n v="2.4999999999999991"/>
    <n v="150"/>
  </r>
  <r>
    <x v="13"/>
    <x v="2"/>
    <n v="3"/>
    <n v="0.83333333333333304"/>
    <n v="2.4999999999999991"/>
    <n v="150"/>
  </r>
  <r>
    <x v="2"/>
    <x v="1"/>
    <n v="5"/>
    <n v="0.8"/>
    <n v="4"/>
    <n v="500"/>
  </r>
  <r>
    <x v="13"/>
    <x v="2"/>
    <n v="3"/>
    <n v="0.83333333333333304"/>
    <n v="2.4999999999999991"/>
    <n v="150"/>
  </r>
  <r>
    <x v="5"/>
    <x v="1"/>
    <n v="1.5"/>
    <n v="0.66666666666666696"/>
    <n v="1.0000000000000004"/>
    <n v="265"/>
  </r>
  <r>
    <x v="7"/>
    <x v="0"/>
    <n v="2.5"/>
    <n v="0.8"/>
    <n v="2"/>
    <n v="120"/>
  </r>
  <r>
    <x v="9"/>
    <x v="3"/>
    <n v="2"/>
    <n v="0.5"/>
    <n v="1"/>
    <n v="280"/>
  </r>
  <r>
    <x v="4"/>
    <x v="0"/>
    <n v="3"/>
    <n v="0.83333333333333304"/>
    <n v="2.4999999999999991"/>
    <n v="0"/>
  </r>
  <r>
    <x v="3"/>
    <x v="1"/>
    <n v="2"/>
    <n v="0.25"/>
    <n v="0.5"/>
    <n v="480"/>
  </r>
  <r>
    <x v="13"/>
    <x v="2"/>
    <n v="3"/>
    <n v="0.83333333333333304"/>
    <n v="2.4999999999999991"/>
    <n v="150"/>
  </r>
  <r>
    <x v="11"/>
    <x v="3"/>
    <n v="2"/>
    <n v="0.5"/>
    <n v="1"/>
    <n v="300"/>
  </r>
  <r>
    <x v="3"/>
    <x v="1"/>
    <n v="2"/>
    <n v="0.25"/>
    <n v="0.5"/>
    <n v="480"/>
  </r>
  <r>
    <x v="4"/>
    <x v="0"/>
    <n v="3"/>
    <n v="0.83333333333333304"/>
    <n v="2.4999999999999991"/>
    <n v="0"/>
  </r>
  <r>
    <x v="2"/>
    <x v="1"/>
    <n v="5"/>
    <n v="0.8"/>
    <n v="4"/>
    <n v="500"/>
  </r>
  <r>
    <x v="0"/>
    <x v="0"/>
    <n v="4"/>
    <n v="0.5"/>
    <n v="2"/>
    <n v="200"/>
  </r>
  <r>
    <x v="3"/>
    <x v="1"/>
    <n v="2"/>
    <n v="0.25"/>
    <n v="0.5"/>
    <n v="480"/>
  </r>
  <r>
    <x v="13"/>
    <x v="2"/>
    <n v="3"/>
    <n v="0.83333333333333304"/>
    <n v="2.4999999999999991"/>
    <n v="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A894F-DFD0-4211-8948-3643793211CC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2:K12" firstHeaderRow="1" firstDataRow="1" firstDataCol="1"/>
  <pivotFields count="6">
    <pivotField showAll="0">
      <items count="21">
        <item x="0"/>
        <item x="4"/>
        <item x="8"/>
        <item x="6"/>
        <item x="12"/>
        <item x="11"/>
        <item x="1"/>
        <item x="16"/>
        <item x="5"/>
        <item x="15"/>
        <item x="9"/>
        <item x="13"/>
        <item x="10"/>
        <item x="3"/>
        <item x="18"/>
        <item x="2"/>
        <item x="14"/>
        <item x="17"/>
        <item x="19"/>
        <item x="7"/>
        <item t="default"/>
      </items>
    </pivotField>
    <pivotField axis="axisRow" dataField="1" showAll="0">
      <items count="10">
        <item x="8"/>
        <item x="0"/>
        <item x="5"/>
        <item x="7"/>
        <item x="4"/>
        <item x="3"/>
        <item x="6"/>
        <item x="2"/>
        <item x="1"/>
        <item t="default"/>
      </items>
    </pivotField>
    <pivotField showAll="0"/>
    <pivotField numFmtId="9" showAll="0"/>
    <pivotField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Category" fld="1" subtotal="count" baseField="0" baseItem="0"/>
  </dataFields>
  <formats count="7">
    <format dxfId="19">
      <pivotArea collapsedLevelsAreSubtotals="1" fieldPosition="0">
        <references count="1">
          <reference field="1" count="3">
            <x v="0"/>
            <x v="1"/>
            <x v="2"/>
          </reference>
        </references>
      </pivotArea>
    </format>
    <format dxfId="18">
      <pivotArea dataOnly="0" labelOnly="1" fieldPosition="0">
        <references count="1">
          <reference field="1" count="3">
            <x v="0"/>
            <x v="1"/>
            <x v="2"/>
          </reference>
        </references>
      </pivotArea>
    </format>
    <format dxfId="17">
      <pivotArea dataOnly="0" fieldPosition="0">
        <references count="1">
          <reference field="1" count="2">
            <x v="3"/>
            <x v="4"/>
          </reference>
        </references>
      </pivotArea>
    </format>
    <format dxfId="16">
      <pivotArea collapsedLevelsAreSubtotals="1" fieldPosition="0">
        <references count="1">
          <reference field="1" count="2">
            <x v="5"/>
            <x v="6"/>
          </reference>
        </references>
      </pivotArea>
    </format>
    <format dxfId="15">
      <pivotArea dataOnly="0" labelOnly="1" fieldPosition="0">
        <references count="1">
          <reference field="1" count="2">
            <x v="5"/>
            <x v="6"/>
          </reference>
        </references>
      </pivotArea>
    </format>
    <format dxfId="14">
      <pivotArea collapsedLevelsAreSubtotals="1" fieldPosition="0">
        <references count="1">
          <reference field="1" count="2">
            <x v="7"/>
            <x v="8"/>
          </reference>
        </references>
      </pivotArea>
    </format>
    <format dxfId="13">
      <pivotArea dataOnly="0" labelOnly="1" fieldPosition="0">
        <references count="1">
          <reference field="1" count="2">
            <x v="7"/>
            <x v="8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31013-5162-4D9C-8AA3-D53FBC8ADF18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2:H23" firstHeaderRow="1" firstDataRow="1" firstDataCol="1"/>
  <pivotFields count="6">
    <pivotField axis="axisRow" dataField="1" showAll="0">
      <items count="21">
        <item x="0"/>
        <item x="4"/>
        <item x="8"/>
        <item x="6"/>
        <item x="12"/>
        <item x="11"/>
        <item x="1"/>
        <item x="16"/>
        <item x="5"/>
        <item x="15"/>
        <item x="9"/>
        <item x="13"/>
        <item x="10"/>
        <item x="3"/>
        <item x="18"/>
        <item x="2"/>
        <item x="14"/>
        <item x="17"/>
        <item x="19"/>
        <item x="7"/>
        <item t="default"/>
      </items>
    </pivotField>
    <pivotField showAll="0">
      <items count="10">
        <item x="8"/>
        <item x="0"/>
        <item x="5"/>
        <item x="7"/>
        <item x="4"/>
        <item x="3"/>
        <item x="6"/>
        <item x="2"/>
        <item x="1"/>
        <item t="default"/>
      </items>
    </pivotField>
    <pivotField showAll="0"/>
    <pivotField numFmtId="9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Count of Item" fld="0" subtotal="count" baseField="0" baseItem="0"/>
  </dataFields>
  <formats count="13">
    <format dxfId="12">
      <pivotArea collapsedLevelsAreSubtotals="1" fieldPosition="0">
        <references count="1">
          <reference field="0" count="2">
            <x v="4"/>
            <x v="5"/>
          </reference>
        </references>
      </pivotArea>
    </format>
    <format dxfId="11">
      <pivotArea dataOnly="0" labelOnly="1" fieldPosition="0">
        <references count="1">
          <reference field="0" count="2">
            <x v="4"/>
            <x v="5"/>
          </reference>
        </references>
      </pivotArea>
    </format>
    <format dxfId="10">
      <pivotArea collapsedLevelsAreSubtotals="1" fieldPosition="0">
        <references count="1">
          <reference field="0" count="2">
            <x v="6"/>
            <x v="7"/>
          </reference>
        </references>
      </pivotArea>
    </format>
    <format dxfId="9">
      <pivotArea dataOnly="0" labelOnly="1" fieldPosition="0">
        <references count="1">
          <reference field="0" count="2">
            <x v="6"/>
            <x v="7"/>
          </reference>
        </references>
      </pivotArea>
    </format>
    <format dxfId="8">
      <pivotArea dataOnly="0" fieldPosition="0">
        <references count="1">
          <reference field="0" count="2">
            <x v="10"/>
            <x v="11"/>
          </reference>
        </references>
      </pivotArea>
    </format>
    <format dxfId="7">
      <pivotArea collapsedLevelsAreSubtotals="1" fieldPosition="0">
        <references count="1">
          <reference field="0" count="2">
            <x v="13"/>
            <x v="14"/>
          </reference>
        </references>
      </pivotArea>
    </format>
    <format dxfId="6">
      <pivotArea dataOnly="0" labelOnly="1" fieldPosition="0">
        <references count="1">
          <reference field="0" count="2">
            <x v="13"/>
            <x v="14"/>
          </reference>
        </references>
      </pivotArea>
    </format>
    <format dxfId="5">
      <pivotArea collapsedLevelsAreSubtotals="1" fieldPosition="0">
        <references count="1">
          <reference field="0" count="2">
            <x v="13"/>
            <x v="14"/>
          </reference>
        </references>
      </pivotArea>
    </format>
    <format dxfId="4">
      <pivotArea dataOnly="0" labelOnly="1" fieldPosition="0">
        <references count="1">
          <reference field="0" count="2">
            <x v="13"/>
            <x v="14"/>
          </reference>
        </references>
      </pivotArea>
    </format>
    <format dxfId="3">
      <pivotArea collapsedLevelsAreSubtotals="1" fieldPosition="0">
        <references count="1">
          <reference field="0" count="2">
            <x v="15"/>
            <x v="16"/>
          </reference>
        </references>
      </pivotArea>
    </format>
    <format dxfId="2">
      <pivotArea dataOnly="0" labelOnly="1" fieldPosition="0">
        <references count="1">
          <reference field="0" count="2">
            <x v="15"/>
            <x v="16"/>
          </reference>
        </references>
      </pivotArea>
    </format>
    <format dxfId="1">
      <pivotArea collapsedLevelsAreSubtotals="1" fieldPosition="0">
        <references count="1">
          <reference field="0" count="2">
            <x v="17"/>
            <x v="18"/>
          </reference>
        </references>
      </pivotArea>
    </format>
    <format dxfId="0">
      <pivotArea dataOnly="0" labelOnly="1" fieldPosition="0">
        <references count="1">
          <reference field="0" count="2">
            <x v="17"/>
            <x v="18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BD3047-16EC-4145-A00A-0A575A880209}" name="PivotTable7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2:O21" firstHeaderRow="0" firstDataRow="1" firstDataCol="1"/>
  <pivotFields count="6">
    <pivotField axis="axisRow" dataField="1" showAll="0">
      <items count="15">
        <item x="0"/>
        <item x="4"/>
        <item x="8"/>
        <item x="6"/>
        <item x="11"/>
        <item x="1"/>
        <item x="5"/>
        <item x="12"/>
        <item x="9"/>
        <item x="10"/>
        <item x="3"/>
        <item x="2"/>
        <item x="13"/>
        <item x="7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numFmtId="44" showAll="0"/>
    <pivotField numFmtId="9" showAll="0"/>
    <pivotField numFmtId="44" showAll="0"/>
    <pivotField dataField="1" showAll="0"/>
  </pivotFields>
  <rowFields count="2">
    <field x="1"/>
    <field x="0"/>
  </rowFields>
  <rowItems count="19">
    <i>
      <x/>
    </i>
    <i r="1">
      <x/>
    </i>
    <i r="1">
      <x v="1"/>
    </i>
    <i r="1">
      <x v="13"/>
    </i>
    <i>
      <x v="1"/>
    </i>
    <i r="1">
      <x v="2"/>
    </i>
    <i r="1">
      <x v="4"/>
    </i>
    <i r="1">
      <x v="8"/>
    </i>
    <i>
      <x v="2"/>
    </i>
    <i r="1">
      <x v="3"/>
    </i>
    <i r="1">
      <x v="7"/>
    </i>
    <i r="1">
      <x v="12"/>
    </i>
    <i>
      <x v="3"/>
    </i>
    <i r="1">
      <x v="5"/>
    </i>
    <i r="1">
      <x v="6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Item" fld="0" subtotal="count" baseField="0" baseItem="0"/>
    <dataField name="Sum of Calories" fld="5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C8DC0-BE8F-4ACB-A4F3-5DDFA3F9EBF3}" name="PivotTable6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2:K21" firstHeaderRow="0" firstDataRow="1" firstDataCol="1"/>
  <pivotFields count="5">
    <pivotField axis="axisRow" dataField="1" showAll="0">
      <items count="15">
        <item x="0"/>
        <item x="4"/>
        <item x="8"/>
        <item x="6"/>
        <item x="11"/>
        <item x="1"/>
        <item x="5"/>
        <item x="12"/>
        <item x="9"/>
        <item x="10"/>
        <item x="3"/>
        <item x="2"/>
        <item x="13"/>
        <item x="7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dataField="1" numFmtId="44" showAll="0">
      <items count="10">
        <item x="6"/>
        <item x="4"/>
        <item x="3"/>
        <item x="5"/>
        <item x="1"/>
        <item x="0"/>
        <item x="2"/>
        <item x="8"/>
        <item x="7"/>
        <item t="default"/>
      </items>
    </pivotField>
    <pivotField numFmtId="9" showAll="0"/>
    <pivotField dataField="1" numFmtId="44" showAll="0">
      <items count="12">
        <item x="8"/>
        <item x="3"/>
        <item x="7"/>
        <item x="5"/>
        <item x="6"/>
        <item x="0"/>
        <item x="1"/>
        <item x="4"/>
        <item x="2"/>
        <item x="10"/>
        <item x="9"/>
        <item t="default"/>
      </items>
    </pivotField>
  </pivotFields>
  <rowFields count="2">
    <field x="1"/>
    <field x="0"/>
  </rowFields>
  <rowItems count="19">
    <i>
      <x/>
    </i>
    <i r="1">
      <x/>
    </i>
    <i r="1">
      <x v="1"/>
    </i>
    <i r="1">
      <x v="13"/>
    </i>
    <i>
      <x v="1"/>
    </i>
    <i r="1">
      <x v="2"/>
    </i>
    <i r="1">
      <x v="4"/>
    </i>
    <i r="1">
      <x v="8"/>
    </i>
    <i>
      <x v="2"/>
    </i>
    <i r="1">
      <x v="3"/>
    </i>
    <i r="1">
      <x v="7"/>
    </i>
    <i r="1">
      <x v="12"/>
    </i>
    <i>
      <x v="3"/>
    </i>
    <i r="1">
      <x v="5"/>
    </i>
    <i r="1">
      <x v="6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Item" fld="0" subtotal="count" baseField="0" baseItem="0"/>
    <dataField name="Sum of Price" fld="2" baseField="0" baseItem="0"/>
    <dataField name="Sum of Actual Profit" fld="4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01"/>
  <sheetViews>
    <sheetView tabSelected="1" topLeftCell="Q1" workbookViewId="0">
      <pane ySplit="1" topLeftCell="A2" activePane="bottomLeft" state="frozen"/>
      <selection pane="bottomLeft" activeCell="U12" sqref="U12"/>
    </sheetView>
  </sheetViews>
  <sheetFormatPr defaultColWidth="11" defaultRowHeight="15.5"/>
  <cols>
    <col min="1" max="1" width="20.33203125" customWidth="1"/>
    <col min="5" max="5" width="11.33203125" customWidth="1"/>
    <col min="6" max="6" width="10.83203125" customWidth="1"/>
    <col min="7" max="7" width="20.33203125" bestFit="1" customWidth="1"/>
    <col min="8" max="8" width="12" bestFit="1" customWidth="1"/>
    <col min="10" max="10" width="15.83203125" bestFit="1" customWidth="1"/>
    <col min="11" max="11" width="15.6640625" bestFit="1" customWidth="1"/>
    <col min="12" max="12" width="15.6640625" customWidth="1"/>
    <col min="14" max="14" width="26.6640625" bestFit="1" customWidth="1"/>
    <col min="15" max="15" width="30.4140625" bestFit="1" customWidth="1"/>
    <col min="18" max="18" width="27.4140625" bestFit="1" customWidth="1"/>
    <col min="19" max="19" width="30.83203125" bestFit="1" customWidth="1"/>
  </cols>
  <sheetData>
    <row r="1" spans="1:23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17" t="s">
        <v>58</v>
      </c>
      <c r="J1" s="17" t="s">
        <v>60</v>
      </c>
      <c r="M1" s="38" t="s">
        <v>2</v>
      </c>
      <c r="N1" s="39" t="s">
        <v>62</v>
      </c>
      <c r="O1" s="39" t="s">
        <v>63</v>
      </c>
      <c r="P1" s="34"/>
      <c r="Q1" s="39" t="s">
        <v>3</v>
      </c>
      <c r="R1" s="39" t="s">
        <v>66</v>
      </c>
      <c r="S1" s="39" t="s">
        <v>63</v>
      </c>
    </row>
    <row r="2" spans="1:23">
      <c r="A2" t="s">
        <v>6</v>
      </c>
      <c r="B2" t="s">
        <v>7</v>
      </c>
      <c r="C2" s="8">
        <v>4</v>
      </c>
      <c r="D2" s="5">
        <v>0.5</v>
      </c>
      <c r="E2" s="9"/>
      <c r="G2" s="11" t="s">
        <v>40</v>
      </c>
      <c r="H2" t="s">
        <v>59</v>
      </c>
      <c r="J2" s="11" t="s">
        <v>40</v>
      </c>
      <c r="K2" t="s">
        <v>47</v>
      </c>
      <c r="M2" s="8">
        <v>4</v>
      </c>
      <c r="N2" s="8">
        <v>1</v>
      </c>
      <c r="O2" s="8">
        <v>1</v>
      </c>
      <c r="P2" s="8"/>
      <c r="Q2" s="5">
        <v>0.5</v>
      </c>
      <c r="R2" s="5">
        <v>0.25</v>
      </c>
      <c r="S2" s="5">
        <v>0.25</v>
      </c>
      <c r="T2" s="8"/>
      <c r="U2" s="8"/>
      <c r="V2" s="15" t="s">
        <v>61</v>
      </c>
    </row>
    <row r="3" spans="1:23">
      <c r="A3" t="s">
        <v>8</v>
      </c>
      <c r="B3" t="s">
        <v>9</v>
      </c>
      <c r="C3" s="8">
        <v>3</v>
      </c>
      <c r="D3" s="5">
        <v>0.66666666666666696</v>
      </c>
      <c r="E3" s="9"/>
      <c r="G3" s="12" t="s">
        <v>6</v>
      </c>
      <c r="H3" s="13">
        <v>20</v>
      </c>
      <c r="J3" s="18" t="s">
        <v>31</v>
      </c>
      <c r="K3" s="19">
        <v>1</v>
      </c>
      <c r="M3" s="8">
        <v>3</v>
      </c>
      <c r="N3" s="8">
        <v>1.5</v>
      </c>
      <c r="O3" s="8">
        <v>1.5</v>
      </c>
      <c r="P3" s="8"/>
      <c r="Q3" s="5">
        <v>0.66666666666666696</v>
      </c>
      <c r="R3" s="5">
        <v>0.25</v>
      </c>
      <c r="S3" s="5">
        <v>0.5</v>
      </c>
      <c r="T3" s="8"/>
      <c r="U3" s="8"/>
      <c r="V3" s="16" t="s">
        <v>68</v>
      </c>
    </row>
    <row r="4" spans="1:23">
      <c r="A4" t="s">
        <v>10</v>
      </c>
      <c r="B4" t="s">
        <v>11</v>
      </c>
      <c r="C4" s="8">
        <v>5</v>
      </c>
      <c r="D4" s="5">
        <v>0.8</v>
      </c>
      <c r="E4" s="9"/>
      <c r="G4" s="12" t="s">
        <v>13</v>
      </c>
      <c r="H4" s="13">
        <v>13</v>
      </c>
      <c r="J4" s="18" t="s">
        <v>7</v>
      </c>
      <c r="K4" s="19">
        <v>44</v>
      </c>
      <c r="M4" s="8">
        <v>5</v>
      </c>
      <c r="N4" s="8">
        <v>1.5</v>
      </c>
      <c r="O4" s="8">
        <v>2</v>
      </c>
      <c r="P4" s="8"/>
      <c r="Q4" s="5">
        <v>0.8</v>
      </c>
      <c r="R4" s="5">
        <v>0.25</v>
      </c>
      <c r="S4" s="5">
        <v>0.66666666666666696</v>
      </c>
      <c r="T4" s="8"/>
      <c r="U4" s="8"/>
      <c r="W4" s="16" t="s">
        <v>48</v>
      </c>
    </row>
    <row r="5" spans="1:23">
      <c r="A5" t="s">
        <v>12</v>
      </c>
      <c r="B5" t="s">
        <v>9</v>
      </c>
      <c r="C5" s="8">
        <v>2</v>
      </c>
      <c r="D5" s="5">
        <v>0.25</v>
      </c>
      <c r="E5" s="9"/>
      <c r="G5" s="12" t="s">
        <v>18</v>
      </c>
      <c r="H5" s="13">
        <v>13</v>
      </c>
      <c r="J5" s="18" t="s">
        <v>20</v>
      </c>
      <c r="K5" s="19">
        <v>1</v>
      </c>
      <c r="M5" s="8">
        <v>2</v>
      </c>
      <c r="N5" s="8">
        <v>1.5</v>
      </c>
      <c r="O5" s="35">
        <v>2</v>
      </c>
      <c r="P5" s="8"/>
      <c r="Q5" s="5">
        <v>0.25</v>
      </c>
      <c r="R5" s="5">
        <v>0.25</v>
      </c>
      <c r="S5" s="5">
        <v>0.75</v>
      </c>
      <c r="T5" s="8"/>
      <c r="U5" s="8"/>
      <c r="W5" s="16" t="s">
        <v>49</v>
      </c>
    </row>
    <row r="6" spans="1:23">
      <c r="A6" t="s">
        <v>13</v>
      </c>
      <c r="B6" t="s">
        <v>7</v>
      </c>
      <c r="C6" s="8">
        <v>3</v>
      </c>
      <c r="D6" s="5">
        <v>0.83333333333333304</v>
      </c>
      <c r="E6" s="9"/>
      <c r="G6" s="12" t="s">
        <v>15</v>
      </c>
      <c r="H6" s="13">
        <v>11</v>
      </c>
      <c r="J6" s="20" t="s">
        <v>25</v>
      </c>
      <c r="K6" s="21">
        <v>1</v>
      </c>
      <c r="M6" s="8">
        <v>3</v>
      </c>
      <c r="N6" s="8">
        <v>1.5</v>
      </c>
      <c r="O6" s="36">
        <v>2</v>
      </c>
      <c r="P6" s="8"/>
      <c r="Q6" s="5">
        <v>0.83333333333333304</v>
      </c>
      <c r="R6" s="5">
        <v>0.25</v>
      </c>
      <c r="S6" s="5">
        <v>0.8</v>
      </c>
      <c r="T6" s="8"/>
      <c r="U6" s="8"/>
      <c r="W6" s="16" t="s">
        <v>50</v>
      </c>
    </row>
    <row r="7" spans="1:23">
      <c r="A7" t="s">
        <v>14</v>
      </c>
      <c r="B7" t="s">
        <v>9</v>
      </c>
      <c r="C7" s="8">
        <v>1.5</v>
      </c>
      <c r="D7" s="5">
        <v>0.66666666666666696</v>
      </c>
      <c r="E7" s="9"/>
      <c r="G7" s="24" t="s">
        <v>26</v>
      </c>
      <c r="H7" s="25">
        <v>13</v>
      </c>
      <c r="J7" s="20" t="s">
        <v>19</v>
      </c>
      <c r="K7" s="21">
        <v>39</v>
      </c>
      <c r="M7" s="8">
        <v>1.5</v>
      </c>
      <c r="N7" s="8">
        <v>1.5</v>
      </c>
      <c r="O7" s="8">
        <v>2.5</v>
      </c>
      <c r="P7" s="8"/>
      <c r="Q7" s="5">
        <v>0.66666666666666696</v>
      </c>
      <c r="R7" s="5">
        <v>0.25</v>
      </c>
      <c r="S7" s="5">
        <v>0.83333333333333304</v>
      </c>
      <c r="T7" s="8"/>
      <c r="U7" s="8"/>
      <c r="W7" s="16" t="s">
        <v>51</v>
      </c>
    </row>
    <row r="8" spans="1:23">
      <c r="A8" t="s">
        <v>15</v>
      </c>
      <c r="B8" t="s">
        <v>16</v>
      </c>
      <c r="C8" s="8">
        <v>3</v>
      </c>
      <c r="D8" s="5">
        <v>0.5</v>
      </c>
      <c r="E8" s="9"/>
      <c r="G8" s="24" t="s">
        <v>24</v>
      </c>
      <c r="H8" s="25">
        <v>1</v>
      </c>
      <c r="J8" s="22" t="s">
        <v>16</v>
      </c>
      <c r="K8" s="23">
        <v>1</v>
      </c>
      <c r="M8" s="8">
        <v>3</v>
      </c>
      <c r="N8" s="8">
        <v>1.5</v>
      </c>
      <c r="O8" s="8">
        <v>3</v>
      </c>
      <c r="P8" s="8"/>
      <c r="Q8" s="5">
        <v>0.5</v>
      </c>
      <c r="R8" s="5">
        <v>0.25</v>
      </c>
      <c r="T8" s="8"/>
      <c r="U8" s="8"/>
    </row>
    <row r="9" spans="1:23">
      <c r="A9" t="s">
        <v>17</v>
      </c>
      <c r="B9" t="s">
        <v>7</v>
      </c>
      <c r="C9" s="8">
        <v>2.5</v>
      </c>
      <c r="D9" s="5">
        <v>0.8</v>
      </c>
      <c r="E9" s="9"/>
      <c r="G9" s="20" t="s">
        <v>8</v>
      </c>
      <c r="H9" s="21">
        <v>15</v>
      </c>
      <c r="J9" s="22" t="s">
        <v>22</v>
      </c>
      <c r="K9" s="23">
        <v>33</v>
      </c>
      <c r="M9" s="8">
        <v>2.5</v>
      </c>
      <c r="N9" s="8">
        <v>1.5</v>
      </c>
      <c r="O9" s="37">
        <v>3</v>
      </c>
      <c r="P9" s="8"/>
      <c r="Q9" s="5">
        <v>0.8</v>
      </c>
      <c r="R9" s="5">
        <v>0.25</v>
      </c>
      <c r="T9" s="8"/>
      <c r="U9" s="8"/>
      <c r="V9" s="16" t="s">
        <v>69</v>
      </c>
    </row>
    <row r="10" spans="1:23">
      <c r="A10" t="s">
        <v>18</v>
      </c>
      <c r="B10" t="s">
        <v>19</v>
      </c>
      <c r="C10" s="8">
        <v>2</v>
      </c>
      <c r="D10" s="5">
        <v>0.75</v>
      </c>
      <c r="E10" s="9"/>
      <c r="G10" s="20" t="s">
        <v>30</v>
      </c>
      <c r="H10" s="21">
        <v>1</v>
      </c>
      <c r="J10" s="24" t="s">
        <v>11</v>
      </c>
      <c r="K10" s="25">
        <v>1</v>
      </c>
      <c r="M10" s="8">
        <v>2</v>
      </c>
      <c r="N10" s="8">
        <v>1.5</v>
      </c>
      <c r="O10" s="36">
        <v>3</v>
      </c>
      <c r="P10" s="8"/>
      <c r="Q10" s="5">
        <v>0.75</v>
      </c>
      <c r="R10" s="5">
        <v>0.25</v>
      </c>
      <c r="T10" s="8"/>
      <c r="U10" s="8"/>
      <c r="W10" s="16" t="s">
        <v>52</v>
      </c>
    </row>
    <row r="11" spans="1:23">
      <c r="A11" t="s">
        <v>8</v>
      </c>
      <c r="B11" t="s">
        <v>9</v>
      </c>
      <c r="C11" s="8">
        <v>3</v>
      </c>
      <c r="D11" s="5">
        <v>0.66666666666666696</v>
      </c>
      <c r="E11" s="9"/>
      <c r="G11" s="12" t="s">
        <v>14</v>
      </c>
      <c r="H11" s="13">
        <v>15</v>
      </c>
      <c r="J11" s="24" t="s">
        <v>9</v>
      </c>
      <c r="K11" s="25">
        <v>78</v>
      </c>
      <c r="M11" s="8">
        <v>3</v>
      </c>
      <c r="N11" s="8">
        <v>1.5</v>
      </c>
      <c r="O11" s="8">
        <v>4</v>
      </c>
      <c r="P11" s="8"/>
      <c r="Q11" s="5">
        <v>0.66666666666666696</v>
      </c>
      <c r="R11" s="5">
        <v>0.25</v>
      </c>
      <c r="T11" s="8"/>
      <c r="U11" s="8"/>
      <c r="W11" s="16" t="s">
        <v>53</v>
      </c>
    </row>
    <row r="12" spans="1:23">
      <c r="A12" t="s">
        <v>6</v>
      </c>
      <c r="B12" t="s">
        <v>20</v>
      </c>
      <c r="C12" s="8">
        <v>2</v>
      </c>
      <c r="D12" s="5">
        <v>0.5</v>
      </c>
      <c r="E12" s="9"/>
      <c r="G12" s="12" t="s">
        <v>29</v>
      </c>
      <c r="H12" s="13">
        <v>10</v>
      </c>
      <c r="J12" s="12" t="s">
        <v>46</v>
      </c>
      <c r="K12" s="13">
        <v>199</v>
      </c>
      <c r="L12" s="13"/>
      <c r="M12" s="8">
        <v>2</v>
      </c>
      <c r="N12" s="8">
        <v>1.5</v>
      </c>
      <c r="O12" s="37">
        <v>4</v>
      </c>
      <c r="P12" s="8"/>
      <c r="Q12" s="5">
        <v>0.5</v>
      </c>
      <c r="R12" s="5">
        <v>0.25</v>
      </c>
      <c r="T12" s="8"/>
      <c r="U12" s="8"/>
      <c r="W12" s="16" t="s">
        <v>54</v>
      </c>
    </row>
    <row r="13" spans="1:23">
      <c r="A13" t="s">
        <v>14</v>
      </c>
      <c r="B13" t="s">
        <v>9</v>
      </c>
      <c r="C13" s="8">
        <v>1.5</v>
      </c>
      <c r="D13" s="5">
        <v>0.66666666666666696</v>
      </c>
      <c r="E13" s="9"/>
      <c r="G13" s="26" t="s">
        <v>21</v>
      </c>
      <c r="H13" s="27">
        <v>1</v>
      </c>
      <c r="M13" s="8">
        <v>1.5</v>
      </c>
      <c r="N13" s="8">
        <v>1.5</v>
      </c>
      <c r="O13" s="8">
        <v>5</v>
      </c>
      <c r="P13" s="8"/>
      <c r="Q13" s="5">
        <v>0.66666666666666696</v>
      </c>
      <c r="R13" s="5">
        <v>0.25</v>
      </c>
      <c r="T13" s="8"/>
      <c r="U13" s="8"/>
      <c r="W13" s="16" t="s">
        <v>55</v>
      </c>
    </row>
    <row r="14" spans="1:23">
      <c r="A14" t="s">
        <v>21</v>
      </c>
      <c r="B14" t="s">
        <v>19</v>
      </c>
      <c r="C14" s="8">
        <v>2</v>
      </c>
      <c r="D14" s="5">
        <v>0.5</v>
      </c>
      <c r="E14" s="9"/>
      <c r="G14" s="26" t="s">
        <v>27</v>
      </c>
      <c r="H14" s="27">
        <v>12</v>
      </c>
      <c r="M14" s="8">
        <v>2</v>
      </c>
      <c r="N14" s="8">
        <v>1.5</v>
      </c>
      <c r="O14" s="8">
        <v>20</v>
      </c>
      <c r="P14" s="8"/>
      <c r="Q14" s="5">
        <v>0.5</v>
      </c>
      <c r="R14" s="5">
        <v>0.25</v>
      </c>
      <c r="T14" s="8"/>
      <c r="U14" s="8"/>
      <c r="W14" s="16" t="s">
        <v>56</v>
      </c>
    </row>
    <row r="15" spans="1:23">
      <c r="A15" t="s">
        <v>15</v>
      </c>
      <c r="B15" t="s">
        <v>22</v>
      </c>
      <c r="C15" s="8">
        <v>3</v>
      </c>
      <c r="D15" s="5">
        <v>0.5</v>
      </c>
      <c r="E15" s="9"/>
      <c r="G15" s="12" t="s">
        <v>23</v>
      </c>
      <c r="H15" s="13">
        <v>15</v>
      </c>
      <c r="M15" s="8">
        <v>3</v>
      </c>
      <c r="N15" s="8">
        <v>1.5</v>
      </c>
      <c r="O15" s="8">
        <v>25</v>
      </c>
      <c r="P15" s="8"/>
      <c r="Q15" s="5">
        <v>0.5</v>
      </c>
      <c r="R15" s="5">
        <v>0.25</v>
      </c>
      <c r="T15" s="8"/>
      <c r="U15" s="8"/>
      <c r="W15" s="16" t="s">
        <v>57</v>
      </c>
    </row>
    <row r="16" spans="1:23">
      <c r="A16" t="s">
        <v>23</v>
      </c>
      <c r="B16" t="s">
        <v>9</v>
      </c>
      <c r="C16" s="8">
        <v>3</v>
      </c>
      <c r="D16" s="5">
        <v>0.5</v>
      </c>
      <c r="E16" s="9"/>
      <c r="G16" s="28" t="s">
        <v>12</v>
      </c>
      <c r="H16" s="29">
        <v>16</v>
      </c>
      <c r="M16" s="8">
        <v>3</v>
      </c>
      <c r="N16" s="8">
        <v>1.5</v>
      </c>
      <c r="O16" s="9"/>
      <c r="P16" s="8"/>
      <c r="Q16" s="5">
        <v>0.5</v>
      </c>
      <c r="R16" s="5">
        <v>0.25</v>
      </c>
      <c r="T16" s="8"/>
      <c r="U16" s="8"/>
    </row>
    <row r="17" spans="1:26">
      <c r="A17" t="s">
        <v>12</v>
      </c>
      <c r="B17" t="s">
        <v>9</v>
      </c>
      <c r="C17" s="8">
        <v>1</v>
      </c>
      <c r="D17" s="5">
        <v>0.25</v>
      </c>
      <c r="E17" s="9"/>
      <c r="G17" s="28" t="s">
        <v>33</v>
      </c>
      <c r="H17" s="29">
        <v>1</v>
      </c>
      <c r="M17" s="8">
        <v>1</v>
      </c>
      <c r="N17" s="8">
        <v>1.5</v>
      </c>
      <c r="P17" s="8"/>
      <c r="Q17" s="5">
        <v>0.25</v>
      </c>
      <c r="R17" s="5">
        <v>0.25</v>
      </c>
      <c r="T17" s="8"/>
      <c r="U17" s="8"/>
      <c r="V17" s="16" t="s">
        <v>65</v>
      </c>
    </row>
    <row r="18" spans="1:26">
      <c r="A18" t="s">
        <v>6</v>
      </c>
      <c r="B18" t="s">
        <v>7</v>
      </c>
      <c r="C18" s="8">
        <v>4</v>
      </c>
      <c r="D18" s="5">
        <v>0.5</v>
      </c>
      <c r="E18" s="9"/>
      <c r="G18" s="30" t="s">
        <v>10</v>
      </c>
      <c r="H18" s="31">
        <v>15</v>
      </c>
      <c r="M18" s="8">
        <v>4</v>
      </c>
      <c r="N18" s="8">
        <v>2</v>
      </c>
      <c r="P18" s="8"/>
      <c r="Q18" s="5">
        <v>0.5</v>
      </c>
      <c r="R18" s="5">
        <v>0.25</v>
      </c>
      <c r="T18" s="8"/>
      <c r="U18" s="8"/>
      <c r="W18" s="16" t="s">
        <v>64</v>
      </c>
    </row>
    <row r="19" spans="1:26">
      <c r="A19" t="s">
        <v>17</v>
      </c>
      <c r="B19" t="s">
        <v>7</v>
      </c>
      <c r="C19" s="8">
        <v>2.5</v>
      </c>
      <c r="D19" s="5">
        <v>0.8</v>
      </c>
      <c r="E19" s="9"/>
      <c r="G19" s="30" t="s">
        <v>28</v>
      </c>
      <c r="H19" s="31">
        <v>1</v>
      </c>
      <c r="M19" s="8">
        <v>2.5</v>
      </c>
      <c r="N19" s="8">
        <v>2</v>
      </c>
      <c r="P19" s="8"/>
      <c r="Q19" s="5">
        <v>0.8</v>
      </c>
      <c r="R19" s="5">
        <v>0.5</v>
      </c>
      <c r="T19" s="8"/>
      <c r="U19" s="8"/>
    </row>
    <row r="20" spans="1:26">
      <c r="A20" t="s">
        <v>6</v>
      </c>
      <c r="B20" t="s">
        <v>7</v>
      </c>
      <c r="C20" s="8">
        <v>4</v>
      </c>
      <c r="D20" s="5">
        <v>0.5</v>
      </c>
      <c r="E20" s="9"/>
      <c r="G20" s="32" t="s">
        <v>32</v>
      </c>
      <c r="H20" s="33">
        <v>12</v>
      </c>
      <c r="M20" s="8">
        <v>4</v>
      </c>
      <c r="N20" s="8">
        <v>2</v>
      </c>
      <c r="P20" s="8"/>
      <c r="Q20" s="5">
        <v>0.5</v>
      </c>
      <c r="R20" s="5">
        <v>0.5</v>
      </c>
      <c r="T20" s="8"/>
      <c r="U20" s="8"/>
      <c r="W20" s="6" t="s">
        <v>0</v>
      </c>
      <c r="X20" s="6" t="s">
        <v>1</v>
      </c>
      <c r="Y20" s="6" t="s">
        <v>2</v>
      </c>
      <c r="Z20" s="6" t="s">
        <v>3</v>
      </c>
    </row>
    <row r="21" spans="1:26">
      <c r="A21" t="s">
        <v>8</v>
      </c>
      <c r="B21" t="s">
        <v>9</v>
      </c>
      <c r="C21" s="8">
        <v>3</v>
      </c>
      <c r="D21" s="5">
        <v>0.66666666666666696</v>
      </c>
      <c r="E21" s="9"/>
      <c r="G21" s="32" t="s">
        <v>34</v>
      </c>
      <c r="H21" s="33">
        <v>1</v>
      </c>
      <c r="M21" s="8">
        <v>3</v>
      </c>
      <c r="N21" s="8">
        <v>2</v>
      </c>
      <c r="P21" s="8"/>
      <c r="Q21" s="5">
        <v>0.66666666666666696</v>
      </c>
      <c r="R21" s="5">
        <v>0.5</v>
      </c>
      <c r="T21" s="8"/>
      <c r="U21" s="8"/>
      <c r="W21" t="s">
        <v>6</v>
      </c>
      <c r="X21" t="s">
        <v>7</v>
      </c>
      <c r="Y21" s="10">
        <v>4</v>
      </c>
      <c r="Z21" s="5">
        <v>0.5</v>
      </c>
    </row>
    <row r="22" spans="1:26">
      <c r="A22" t="s">
        <v>24</v>
      </c>
      <c r="B22" t="s">
        <v>19</v>
      </c>
      <c r="C22" s="8">
        <v>2</v>
      </c>
      <c r="D22" s="5">
        <v>0.5</v>
      </c>
      <c r="E22" s="9"/>
      <c r="G22" s="12" t="s">
        <v>17</v>
      </c>
      <c r="H22" s="13">
        <v>13</v>
      </c>
      <c r="M22" s="8">
        <v>2</v>
      </c>
      <c r="N22" s="8">
        <v>2</v>
      </c>
      <c r="P22" s="8"/>
      <c r="Q22" s="5">
        <v>0.5</v>
      </c>
      <c r="R22" s="5">
        <v>0.5</v>
      </c>
      <c r="T22" s="8"/>
      <c r="U22" s="8"/>
      <c r="W22" t="s">
        <v>32</v>
      </c>
      <c r="X22" t="s">
        <v>22</v>
      </c>
      <c r="Y22" s="10">
        <v>3</v>
      </c>
      <c r="Z22" s="5">
        <v>0.83333333333333304</v>
      </c>
    </row>
    <row r="23" spans="1:26">
      <c r="A23" t="s">
        <v>10</v>
      </c>
      <c r="B23" t="s">
        <v>9</v>
      </c>
      <c r="C23" s="8">
        <v>5</v>
      </c>
      <c r="D23" s="5">
        <v>0.8</v>
      </c>
      <c r="E23" s="9"/>
      <c r="G23" s="12" t="s">
        <v>46</v>
      </c>
      <c r="H23" s="13">
        <v>199</v>
      </c>
      <c r="M23" s="8">
        <v>5</v>
      </c>
      <c r="N23" s="8">
        <v>2</v>
      </c>
      <c r="P23" s="8"/>
      <c r="Q23" s="5">
        <v>0.8</v>
      </c>
      <c r="R23" s="5">
        <v>0.5</v>
      </c>
      <c r="T23" s="8"/>
      <c r="U23" s="8"/>
      <c r="W23" t="s">
        <v>26</v>
      </c>
      <c r="X23" t="s">
        <v>19</v>
      </c>
      <c r="Y23" s="10">
        <v>2</v>
      </c>
      <c r="Z23" s="5">
        <v>0.5</v>
      </c>
    </row>
    <row r="24" spans="1:26">
      <c r="A24" t="s">
        <v>8</v>
      </c>
      <c r="B24" t="s">
        <v>9</v>
      </c>
      <c r="C24" s="8">
        <v>3</v>
      </c>
      <c r="D24" s="5">
        <v>0.66666666666666696</v>
      </c>
      <c r="E24" s="9"/>
      <c r="M24" s="8">
        <v>3</v>
      </c>
      <c r="N24" s="8">
        <v>2</v>
      </c>
      <c r="P24" s="8"/>
      <c r="Q24" s="5">
        <v>0.66666666666666696</v>
      </c>
      <c r="R24" s="5">
        <v>0.5</v>
      </c>
      <c r="T24" s="8"/>
      <c r="U24" s="8"/>
      <c r="W24" t="s">
        <v>12</v>
      </c>
      <c r="X24" t="s">
        <v>9</v>
      </c>
      <c r="Y24" s="10">
        <v>2</v>
      </c>
      <c r="Z24" s="5">
        <v>0.25</v>
      </c>
    </row>
    <row r="25" spans="1:26">
      <c r="A25" t="s">
        <v>23</v>
      </c>
      <c r="B25" t="s">
        <v>9</v>
      </c>
      <c r="C25" s="8">
        <v>3</v>
      </c>
      <c r="D25" s="5">
        <v>0.5</v>
      </c>
      <c r="E25" s="9"/>
      <c r="M25" s="8">
        <v>3</v>
      </c>
      <c r="N25" s="8">
        <v>2</v>
      </c>
      <c r="P25" s="8"/>
      <c r="Q25" s="5">
        <v>0.5</v>
      </c>
      <c r="R25" s="5">
        <v>0.5</v>
      </c>
      <c r="T25" s="8"/>
      <c r="U25" s="8"/>
      <c r="W25" t="s">
        <v>6</v>
      </c>
      <c r="X25" t="s">
        <v>7</v>
      </c>
      <c r="Y25" s="10">
        <v>4</v>
      </c>
      <c r="Z25" s="5">
        <v>0.5</v>
      </c>
    </row>
    <row r="26" spans="1:26">
      <c r="A26" t="s">
        <v>23</v>
      </c>
      <c r="B26" t="s">
        <v>9</v>
      </c>
      <c r="C26" s="8">
        <v>3</v>
      </c>
      <c r="D26" s="5">
        <v>0.5</v>
      </c>
      <c r="E26" s="9"/>
      <c r="M26" s="8">
        <v>3</v>
      </c>
      <c r="N26" s="8">
        <v>2</v>
      </c>
      <c r="P26" s="8"/>
      <c r="Q26" s="5">
        <v>0.5</v>
      </c>
      <c r="R26" s="5">
        <v>0.5</v>
      </c>
      <c r="T26" s="8"/>
      <c r="U26" s="8"/>
      <c r="W26" t="s">
        <v>32</v>
      </c>
      <c r="X26" t="s">
        <v>22</v>
      </c>
      <c r="Y26" s="5">
        <v>3</v>
      </c>
      <c r="Z26" s="5">
        <v>0.83333333333333304</v>
      </c>
    </row>
    <row r="27" spans="1:26">
      <c r="A27" t="s">
        <v>15</v>
      </c>
      <c r="B27" t="s">
        <v>22</v>
      </c>
      <c r="C27" s="8">
        <v>3</v>
      </c>
      <c r="D27" s="5">
        <v>0.5</v>
      </c>
      <c r="E27" s="9"/>
      <c r="M27" s="8">
        <v>3</v>
      </c>
      <c r="N27" s="8">
        <v>2</v>
      </c>
      <c r="P27" s="8"/>
      <c r="Q27" s="5">
        <v>0.5</v>
      </c>
      <c r="R27" s="5">
        <v>0.5</v>
      </c>
      <c r="T27" s="8"/>
      <c r="U27" s="8"/>
      <c r="W27" t="s">
        <v>18</v>
      </c>
      <c r="X27" t="s">
        <v>19</v>
      </c>
      <c r="Y27" s="5">
        <v>2</v>
      </c>
      <c r="Z27" s="5">
        <v>0.75</v>
      </c>
    </row>
    <row r="28" spans="1:26">
      <c r="A28" t="s">
        <v>18</v>
      </c>
      <c r="B28" t="s">
        <v>25</v>
      </c>
      <c r="C28" s="8">
        <v>2</v>
      </c>
      <c r="D28" s="5">
        <v>0.75</v>
      </c>
      <c r="E28" s="9"/>
      <c r="M28" s="8">
        <v>2</v>
      </c>
      <c r="N28" s="8">
        <v>2</v>
      </c>
      <c r="P28" s="8"/>
      <c r="Q28" s="5">
        <v>0.75</v>
      </c>
      <c r="R28" s="5">
        <v>0.5</v>
      </c>
      <c r="T28" s="8"/>
      <c r="U28" s="8"/>
      <c r="W28" t="s">
        <v>13</v>
      </c>
      <c r="X28" t="s">
        <v>7</v>
      </c>
      <c r="Y28" s="5">
        <v>3</v>
      </c>
      <c r="Z28" s="5">
        <v>0.83333333333333304</v>
      </c>
    </row>
    <row r="29" spans="1:26">
      <c r="A29" t="s">
        <v>8</v>
      </c>
      <c r="B29" t="s">
        <v>9</v>
      </c>
      <c r="C29" s="8">
        <v>3</v>
      </c>
      <c r="D29" s="5">
        <v>0.66666666666666696</v>
      </c>
      <c r="E29" s="9"/>
      <c r="M29" s="8">
        <v>3</v>
      </c>
      <c r="N29" s="8">
        <v>2</v>
      </c>
      <c r="P29" s="8"/>
      <c r="Q29" s="5">
        <v>0.66666666666666696</v>
      </c>
      <c r="R29" s="5">
        <v>0.5</v>
      </c>
      <c r="T29" s="8"/>
      <c r="U29" s="8"/>
    </row>
    <row r="30" spans="1:26">
      <c r="A30" t="s">
        <v>6</v>
      </c>
      <c r="B30" t="s">
        <v>7</v>
      </c>
      <c r="C30" s="8">
        <v>4</v>
      </c>
      <c r="D30" s="5">
        <v>0.5</v>
      </c>
      <c r="E30" s="9"/>
      <c r="M30" s="8">
        <v>4</v>
      </c>
      <c r="N30" s="8">
        <v>2</v>
      </c>
      <c r="P30" s="8"/>
      <c r="Q30" s="5">
        <v>0.5</v>
      </c>
      <c r="R30" s="5">
        <v>0.5</v>
      </c>
      <c r="T30" s="8"/>
      <c r="U30" s="8"/>
      <c r="V30" s="16" t="s">
        <v>67</v>
      </c>
    </row>
    <row r="31" spans="1:26">
      <c r="A31" t="s">
        <v>15</v>
      </c>
      <c r="B31" t="s">
        <v>22</v>
      </c>
      <c r="C31" s="8">
        <v>3</v>
      </c>
      <c r="D31" s="5">
        <v>0.5</v>
      </c>
      <c r="E31" s="9"/>
      <c r="M31" s="8">
        <v>3</v>
      </c>
      <c r="N31" s="8">
        <v>2</v>
      </c>
      <c r="P31" s="8"/>
      <c r="Q31" s="5">
        <v>0.5</v>
      </c>
      <c r="R31" s="5">
        <v>0.5</v>
      </c>
      <c r="T31" s="8"/>
      <c r="U31" s="8"/>
    </row>
    <row r="32" spans="1:26">
      <c r="A32" t="s">
        <v>17</v>
      </c>
      <c r="B32" t="s">
        <v>7</v>
      </c>
      <c r="C32" s="8">
        <v>2.5</v>
      </c>
      <c r="D32" s="5">
        <v>0.8</v>
      </c>
      <c r="E32" s="9"/>
      <c r="M32" s="8">
        <v>2.5</v>
      </c>
      <c r="N32" s="8">
        <v>2</v>
      </c>
      <c r="P32" s="8"/>
      <c r="Q32" s="5">
        <v>0.8</v>
      </c>
      <c r="R32" s="5">
        <v>0.5</v>
      </c>
      <c r="T32" s="8"/>
      <c r="U32" s="8"/>
    </row>
    <row r="33" spans="1:21">
      <c r="A33" t="s">
        <v>26</v>
      </c>
      <c r="B33" t="s">
        <v>19</v>
      </c>
      <c r="C33" s="8">
        <v>2</v>
      </c>
      <c r="D33" s="5">
        <v>0.5</v>
      </c>
      <c r="E33" s="9"/>
      <c r="M33" s="8">
        <v>2</v>
      </c>
      <c r="N33" s="8">
        <v>2</v>
      </c>
      <c r="P33" s="8"/>
      <c r="Q33" s="5">
        <v>0.5</v>
      </c>
      <c r="R33" s="5">
        <v>0.5</v>
      </c>
      <c r="T33" s="8"/>
      <c r="U33" s="8"/>
    </row>
    <row r="34" spans="1:21">
      <c r="A34" t="s">
        <v>15</v>
      </c>
      <c r="B34" t="s">
        <v>22</v>
      </c>
      <c r="C34" s="8">
        <v>3</v>
      </c>
      <c r="D34" s="5">
        <v>0.5</v>
      </c>
      <c r="E34" s="9"/>
      <c r="M34" s="8">
        <v>3</v>
      </c>
      <c r="N34" s="8">
        <v>2</v>
      </c>
      <c r="P34" s="8"/>
      <c r="Q34" s="5">
        <v>0.5</v>
      </c>
      <c r="R34" s="5">
        <v>0.5</v>
      </c>
      <c r="T34" s="8"/>
      <c r="U34" s="8"/>
    </row>
    <row r="35" spans="1:21">
      <c r="A35" t="s">
        <v>27</v>
      </c>
      <c r="B35" t="s">
        <v>19</v>
      </c>
      <c r="C35" s="8">
        <v>2</v>
      </c>
      <c r="D35" s="5">
        <v>0.5</v>
      </c>
      <c r="E35" s="9"/>
      <c r="M35" s="8">
        <v>2</v>
      </c>
      <c r="N35" s="8">
        <v>2</v>
      </c>
      <c r="P35" s="8"/>
      <c r="Q35" s="5">
        <v>0.5</v>
      </c>
      <c r="R35" s="5">
        <v>0.5</v>
      </c>
      <c r="T35" s="8"/>
      <c r="U35" s="8"/>
    </row>
    <row r="36" spans="1:21">
      <c r="A36" t="s">
        <v>23</v>
      </c>
      <c r="B36" t="s">
        <v>9</v>
      </c>
      <c r="C36" s="8">
        <v>3</v>
      </c>
      <c r="D36" s="5">
        <v>0.5</v>
      </c>
      <c r="E36" s="9"/>
      <c r="M36" s="8">
        <v>3</v>
      </c>
      <c r="N36" s="8">
        <v>2</v>
      </c>
      <c r="P36" s="8"/>
      <c r="Q36" s="5">
        <v>0.5</v>
      </c>
      <c r="R36" s="5">
        <v>0.5</v>
      </c>
      <c r="T36" s="8"/>
      <c r="U36" s="8"/>
    </row>
    <row r="37" spans="1:21">
      <c r="A37" t="s">
        <v>13</v>
      </c>
      <c r="B37" t="s">
        <v>7</v>
      </c>
      <c r="C37" s="8">
        <v>3</v>
      </c>
      <c r="D37" s="5">
        <v>0.83333333333333304</v>
      </c>
      <c r="E37" s="9"/>
      <c r="M37" s="8">
        <v>3</v>
      </c>
      <c r="N37" s="8">
        <v>2</v>
      </c>
      <c r="P37" s="8"/>
      <c r="Q37" s="5">
        <v>0.83333333333333304</v>
      </c>
      <c r="R37" s="5">
        <v>0.5</v>
      </c>
      <c r="T37" s="8"/>
      <c r="U37" s="8"/>
    </row>
    <row r="38" spans="1:21">
      <c r="A38" t="s">
        <v>13</v>
      </c>
      <c r="B38" t="s">
        <v>7</v>
      </c>
      <c r="C38" s="8">
        <v>3</v>
      </c>
      <c r="D38" s="5">
        <v>0.83333333333333304</v>
      </c>
      <c r="E38" s="9"/>
      <c r="M38" s="8">
        <v>3</v>
      </c>
      <c r="N38" s="8">
        <v>2</v>
      </c>
      <c r="P38" s="8"/>
      <c r="Q38" s="5">
        <v>0.83333333333333304</v>
      </c>
      <c r="R38" s="5">
        <v>0.5</v>
      </c>
      <c r="T38" s="8"/>
      <c r="U38" s="8"/>
    </row>
    <row r="39" spans="1:21">
      <c r="A39" t="s">
        <v>10</v>
      </c>
      <c r="B39" t="s">
        <v>9</v>
      </c>
      <c r="C39" s="8">
        <v>5</v>
      </c>
      <c r="D39" s="5">
        <v>0.8</v>
      </c>
      <c r="E39" s="9"/>
      <c r="M39" s="8">
        <v>5</v>
      </c>
      <c r="N39" s="8">
        <v>2</v>
      </c>
      <c r="P39" s="8"/>
      <c r="Q39" s="5">
        <v>0.8</v>
      </c>
      <c r="R39" s="5">
        <v>0.5</v>
      </c>
      <c r="T39" s="8"/>
      <c r="U39" s="8"/>
    </row>
    <row r="40" spans="1:21">
      <c r="A40" t="s">
        <v>18</v>
      </c>
      <c r="B40" t="s">
        <v>19</v>
      </c>
      <c r="C40" s="8">
        <v>2</v>
      </c>
      <c r="D40" s="5">
        <v>0.75</v>
      </c>
      <c r="E40" s="9"/>
      <c r="M40" s="8">
        <v>2</v>
      </c>
      <c r="N40" s="8">
        <v>2</v>
      </c>
      <c r="P40" s="8"/>
      <c r="Q40" s="5">
        <v>0.75</v>
      </c>
      <c r="R40" s="5">
        <v>0.5</v>
      </c>
      <c r="T40" s="8"/>
      <c r="U40" s="8"/>
    </row>
    <row r="41" spans="1:21">
      <c r="A41" t="s">
        <v>15</v>
      </c>
      <c r="B41" t="s">
        <v>22</v>
      </c>
      <c r="C41" s="8">
        <v>3</v>
      </c>
      <c r="D41" s="5">
        <v>0.5</v>
      </c>
      <c r="E41" s="9"/>
      <c r="M41" s="8">
        <v>3</v>
      </c>
      <c r="N41" s="8">
        <v>2</v>
      </c>
      <c r="P41" s="8"/>
      <c r="Q41" s="5">
        <v>0.5</v>
      </c>
      <c r="R41" s="5">
        <v>0.5</v>
      </c>
      <c r="T41" s="8"/>
      <c r="U41" s="8"/>
    </row>
    <row r="42" spans="1:21">
      <c r="A42" t="s">
        <v>27</v>
      </c>
      <c r="B42" t="s">
        <v>19</v>
      </c>
      <c r="C42" s="8">
        <v>2</v>
      </c>
      <c r="D42" s="5">
        <v>0.5</v>
      </c>
      <c r="E42" s="9"/>
      <c r="M42" s="8">
        <v>2</v>
      </c>
      <c r="N42" s="8">
        <v>2</v>
      </c>
      <c r="P42" s="8"/>
      <c r="Q42" s="5">
        <v>0.5</v>
      </c>
      <c r="R42" s="5">
        <v>0.5</v>
      </c>
      <c r="T42" s="8"/>
      <c r="U42" s="8"/>
    </row>
    <row r="43" spans="1:21">
      <c r="A43" t="s">
        <v>6</v>
      </c>
      <c r="B43" t="s">
        <v>7</v>
      </c>
      <c r="C43" s="8">
        <v>4</v>
      </c>
      <c r="D43" s="5">
        <v>0.5</v>
      </c>
      <c r="E43" s="9"/>
      <c r="M43" s="8">
        <v>4</v>
      </c>
      <c r="N43" s="8">
        <v>2</v>
      </c>
      <c r="P43" s="8"/>
      <c r="Q43" s="5">
        <v>0.5</v>
      </c>
      <c r="R43" s="5">
        <v>0.5</v>
      </c>
      <c r="T43" s="8"/>
      <c r="U43" s="8"/>
    </row>
    <row r="44" spans="1:21">
      <c r="A44" t="s">
        <v>14</v>
      </c>
      <c r="B44" t="s">
        <v>9</v>
      </c>
      <c r="C44" s="8">
        <v>1.5</v>
      </c>
      <c r="D44" s="5">
        <v>0.66666666666666696</v>
      </c>
      <c r="E44" s="9"/>
      <c r="M44" s="8">
        <v>1.5</v>
      </c>
      <c r="N44" s="8">
        <v>2</v>
      </c>
      <c r="P44" s="8"/>
      <c r="Q44" s="5">
        <v>0.66666666666666696</v>
      </c>
      <c r="R44" s="5">
        <v>0.5</v>
      </c>
      <c r="T44" s="8"/>
      <c r="U44" s="8"/>
    </row>
    <row r="45" spans="1:21">
      <c r="A45" t="s">
        <v>18</v>
      </c>
      <c r="B45" t="s">
        <v>19</v>
      </c>
      <c r="C45" s="8">
        <v>2</v>
      </c>
      <c r="D45" s="5">
        <v>0.75</v>
      </c>
      <c r="E45" s="9"/>
      <c r="M45" s="8">
        <v>2</v>
      </c>
      <c r="N45" s="8">
        <v>2</v>
      </c>
      <c r="P45" s="8"/>
      <c r="Q45" s="5">
        <v>0.75</v>
      </c>
      <c r="R45" s="5">
        <v>0.5</v>
      </c>
      <c r="T45" s="8"/>
      <c r="U45" s="8"/>
    </row>
    <row r="46" spans="1:21">
      <c r="A46" t="s">
        <v>12</v>
      </c>
      <c r="B46" t="s">
        <v>9</v>
      </c>
      <c r="C46" s="8">
        <v>2</v>
      </c>
      <c r="D46" s="5">
        <v>0.25</v>
      </c>
      <c r="E46" s="9"/>
      <c r="M46" s="8">
        <v>2</v>
      </c>
      <c r="N46" s="8">
        <v>2</v>
      </c>
      <c r="P46" s="8"/>
      <c r="Q46" s="5">
        <v>0.25</v>
      </c>
      <c r="R46" s="5">
        <v>0.5</v>
      </c>
      <c r="T46" s="8"/>
      <c r="U46" s="8"/>
    </row>
    <row r="47" spans="1:21">
      <c r="A47" t="s">
        <v>8</v>
      </c>
      <c r="B47" t="s">
        <v>9</v>
      </c>
      <c r="C47" s="8">
        <v>3</v>
      </c>
      <c r="D47" s="5">
        <v>0.66666666666666696</v>
      </c>
      <c r="E47" s="9"/>
      <c r="M47" s="8">
        <v>3</v>
      </c>
      <c r="N47" s="8">
        <v>2</v>
      </c>
      <c r="P47" s="8"/>
      <c r="Q47" s="5">
        <v>0.66666666666666696</v>
      </c>
      <c r="R47" s="5">
        <v>0.5</v>
      </c>
      <c r="T47" s="8"/>
      <c r="U47" s="8"/>
    </row>
    <row r="48" spans="1:21">
      <c r="A48" t="s">
        <v>15</v>
      </c>
      <c r="B48" t="s">
        <v>22</v>
      </c>
      <c r="C48" s="8">
        <v>3</v>
      </c>
      <c r="D48" s="5">
        <v>0.5</v>
      </c>
      <c r="E48" s="9"/>
      <c r="M48" s="8">
        <v>3</v>
      </c>
      <c r="N48" s="8">
        <v>2</v>
      </c>
      <c r="P48" s="8"/>
      <c r="Q48" s="5">
        <v>0.5</v>
      </c>
      <c r="R48" s="5">
        <v>0.5</v>
      </c>
      <c r="T48" s="8"/>
      <c r="U48" s="8"/>
    </row>
    <row r="49" spans="1:21">
      <c r="A49" t="s">
        <v>27</v>
      </c>
      <c r="B49" t="s">
        <v>19</v>
      </c>
      <c r="C49" s="8">
        <v>2</v>
      </c>
      <c r="D49" s="5">
        <v>0.5</v>
      </c>
      <c r="E49" s="9"/>
      <c r="M49" s="8">
        <v>2</v>
      </c>
      <c r="N49" s="8">
        <v>2</v>
      </c>
      <c r="P49" s="8"/>
      <c r="Q49" s="5">
        <v>0.5</v>
      </c>
      <c r="R49" s="5">
        <v>0.5</v>
      </c>
      <c r="T49" s="8"/>
      <c r="U49" s="8"/>
    </row>
    <row r="50" spans="1:21">
      <c r="A50" t="s">
        <v>23</v>
      </c>
      <c r="B50" t="s">
        <v>9</v>
      </c>
      <c r="C50" s="8">
        <v>3</v>
      </c>
      <c r="D50" s="5">
        <v>0.5</v>
      </c>
      <c r="E50" s="9"/>
      <c r="M50" s="8">
        <v>3</v>
      </c>
      <c r="N50" s="8">
        <v>2</v>
      </c>
      <c r="P50" s="8"/>
      <c r="Q50" s="5">
        <v>0.5</v>
      </c>
      <c r="R50" s="5">
        <v>0.5</v>
      </c>
      <c r="T50" s="8"/>
      <c r="U50" s="8"/>
    </row>
    <row r="51" spans="1:21">
      <c r="A51" t="s">
        <v>10</v>
      </c>
      <c r="B51" t="s">
        <v>9</v>
      </c>
      <c r="C51" s="8">
        <v>5</v>
      </c>
      <c r="D51" s="5">
        <v>0.8</v>
      </c>
      <c r="E51" s="9"/>
      <c r="M51" s="8">
        <v>5</v>
      </c>
      <c r="N51" s="8">
        <v>2</v>
      </c>
      <c r="P51" s="8"/>
      <c r="Q51" s="5">
        <v>0.8</v>
      </c>
      <c r="R51" s="5">
        <v>0.5</v>
      </c>
      <c r="T51" s="8"/>
      <c r="U51" s="8"/>
    </row>
    <row r="52" spans="1:21">
      <c r="A52" t="s">
        <v>18</v>
      </c>
      <c r="B52" t="s">
        <v>19</v>
      </c>
      <c r="C52" s="8">
        <v>2</v>
      </c>
      <c r="D52" s="5">
        <v>0.75</v>
      </c>
      <c r="E52" s="9"/>
      <c r="M52" s="8">
        <v>2</v>
      </c>
      <c r="N52" s="8">
        <v>2</v>
      </c>
      <c r="P52" s="8"/>
      <c r="Q52" s="5">
        <v>0.75</v>
      </c>
      <c r="R52" s="5">
        <v>0.5</v>
      </c>
      <c r="T52" s="8"/>
      <c r="U52" s="8"/>
    </row>
    <row r="53" spans="1:21">
      <c r="A53" t="s">
        <v>14</v>
      </c>
      <c r="B53" t="s">
        <v>9</v>
      </c>
      <c r="C53" s="8">
        <v>1.5</v>
      </c>
      <c r="D53" s="5">
        <v>0.66666666666666696</v>
      </c>
      <c r="E53" s="9"/>
      <c r="M53" s="8">
        <v>1.5</v>
      </c>
      <c r="N53" s="8">
        <v>2</v>
      </c>
      <c r="P53" s="8"/>
      <c r="Q53" s="5">
        <v>0.66666666666666696</v>
      </c>
      <c r="R53" s="5">
        <v>0.5</v>
      </c>
      <c r="T53" s="8"/>
      <c r="U53" s="8"/>
    </row>
    <row r="54" spans="1:21">
      <c r="A54" t="s">
        <v>10</v>
      </c>
      <c r="B54" t="s">
        <v>9</v>
      </c>
      <c r="C54" s="8">
        <v>5</v>
      </c>
      <c r="D54" s="5">
        <v>0.8</v>
      </c>
      <c r="E54" s="9"/>
      <c r="M54" s="8">
        <v>5</v>
      </c>
      <c r="N54" s="8">
        <v>2</v>
      </c>
      <c r="P54" s="8"/>
      <c r="Q54" s="5">
        <v>0.8</v>
      </c>
      <c r="R54" s="5">
        <v>0.5</v>
      </c>
      <c r="T54" s="8"/>
      <c r="U54" s="8"/>
    </row>
    <row r="55" spans="1:21">
      <c r="A55" t="s">
        <v>6</v>
      </c>
      <c r="B55" t="s">
        <v>7</v>
      </c>
      <c r="C55" s="8">
        <v>4</v>
      </c>
      <c r="D55" s="5">
        <v>0.5</v>
      </c>
      <c r="E55" s="9"/>
      <c r="M55" s="8">
        <v>4</v>
      </c>
      <c r="N55" s="8">
        <v>2</v>
      </c>
      <c r="P55" s="8"/>
      <c r="Q55" s="5">
        <v>0.5</v>
      </c>
      <c r="R55" s="5">
        <v>0.5</v>
      </c>
      <c r="T55" s="8"/>
      <c r="U55" s="8"/>
    </row>
    <row r="56" spans="1:21">
      <c r="A56" t="s">
        <v>15</v>
      </c>
      <c r="B56" t="s">
        <v>22</v>
      </c>
      <c r="C56" s="8">
        <v>3</v>
      </c>
      <c r="D56" s="5">
        <v>0.5</v>
      </c>
      <c r="E56" s="9"/>
      <c r="M56" s="8">
        <v>3</v>
      </c>
      <c r="N56" s="8">
        <v>2</v>
      </c>
      <c r="P56" s="8"/>
      <c r="Q56" s="5">
        <v>0.5</v>
      </c>
      <c r="R56" s="5">
        <v>0.5</v>
      </c>
      <c r="T56" s="8"/>
      <c r="U56" s="8"/>
    </row>
    <row r="57" spans="1:21">
      <c r="A57" t="s">
        <v>26</v>
      </c>
      <c r="B57" t="s">
        <v>19</v>
      </c>
      <c r="C57" s="8">
        <v>2</v>
      </c>
      <c r="D57" s="5">
        <v>0.5</v>
      </c>
      <c r="E57" s="9"/>
      <c r="M57" s="8">
        <v>2</v>
      </c>
      <c r="N57" s="8">
        <v>2</v>
      </c>
      <c r="P57" s="8"/>
      <c r="Q57" s="5">
        <v>0.5</v>
      </c>
      <c r="R57" s="5">
        <v>0.5</v>
      </c>
      <c r="T57" s="8"/>
      <c r="U57" s="8"/>
    </row>
    <row r="58" spans="1:21">
      <c r="A58" t="s">
        <v>27</v>
      </c>
      <c r="B58" t="s">
        <v>19</v>
      </c>
      <c r="C58" s="8">
        <v>2</v>
      </c>
      <c r="D58" s="5">
        <v>0.5</v>
      </c>
      <c r="E58" s="9"/>
      <c r="M58" s="8">
        <v>2</v>
      </c>
      <c r="N58" s="8">
        <v>2</v>
      </c>
      <c r="P58" s="8"/>
      <c r="Q58" s="5">
        <v>0.5</v>
      </c>
      <c r="R58" s="5">
        <v>0.5</v>
      </c>
      <c r="T58" s="8"/>
      <c r="U58" s="8"/>
    </row>
    <row r="59" spans="1:21">
      <c r="A59" t="s">
        <v>6</v>
      </c>
      <c r="B59" t="s">
        <v>7</v>
      </c>
      <c r="C59" s="8">
        <v>4</v>
      </c>
      <c r="D59" s="5">
        <v>0.5</v>
      </c>
      <c r="E59" s="9"/>
      <c r="M59" s="8">
        <v>4</v>
      </c>
      <c r="N59" s="8">
        <v>2</v>
      </c>
      <c r="P59" s="8"/>
      <c r="Q59" s="5">
        <v>0.5</v>
      </c>
      <c r="R59" s="5">
        <v>0.5</v>
      </c>
      <c r="T59" s="8"/>
      <c r="U59" s="8"/>
    </row>
    <row r="60" spans="1:21">
      <c r="A60" t="s">
        <v>27</v>
      </c>
      <c r="B60" t="s">
        <v>19</v>
      </c>
      <c r="C60" s="8">
        <v>2</v>
      </c>
      <c r="D60" s="5">
        <v>0.5</v>
      </c>
      <c r="E60" s="9"/>
      <c r="M60" s="8">
        <v>2</v>
      </c>
      <c r="N60" s="8">
        <v>2</v>
      </c>
      <c r="P60" s="8"/>
      <c r="Q60" s="5">
        <v>0.5</v>
      </c>
      <c r="R60" s="5">
        <v>0.5</v>
      </c>
      <c r="T60" s="8"/>
      <c r="U60" s="8"/>
    </row>
    <row r="61" spans="1:21">
      <c r="A61" t="s">
        <v>6</v>
      </c>
      <c r="B61" t="s">
        <v>7</v>
      </c>
      <c r="C61" s="8">
        <v>4</v>
      </c>
      <c r="D61" s="5">
        <v>0.5</v>
      </c>
      <c r="E61" s="9"/>
      <c r="M61" s="8">
        <v>4</v>
      </c>
      <c r="N61" s="8">
        <v>2</v>
      </c>
      <c r="P61" s="8"/>
      <c r="Q61" s="5">
        <v>0.5</v>
      </c>
      <c r="R61" s="5">
        <v>0.5</v>
      </c>
      <c r="T61" s="8"/>
      <c r="U61" s="8"/>
    </row>
    <row r="62" spans="1:21">
      <c r="A62" t="s">
        <v>17</v>
      </c>
      <c r="B62" t="s">
        <v>7</v>
      </c>
      <c r="C62" s="8">
        <v>25</v>
      </c>
      <c r="D62" s="5">
        <v>0.8</v>
      </c>
      <c r="E62" s="9"/>
      <c r="M62" s="8">
        <v>25</v>
      </c>
      <c r="N62" s="8">
        <v>2</v>
      </c>
      <c r="P62" s="8"/>
      <c r="Q62" s="5">
        <v>0.8</v>
      </c>
      <c r="R62" s="5">
        <v>0.5</v>
      </c>
      <c r="T62" s="8"/>
      <c r="U62" s="8"/>
    </row>
    <row r="63" spans="1:21">
      <c r="A63" t="s">
        <v>14</v>
      </c>
      <c r="B63" t="s">
        <v>9</v>
      </c>
      <c r="C63" s="8">
        <v>1.5</v>
      </c>
      <c r="D63" s="5">
        <v>0.66666666666666696</v>
      </c>
      <c r="E63" s="9"/>
      <c r="M63" s="8">
        <v>1.5</v>
      </c>
      <c r="N63" s="8">
        <v>2</v>
      </c>
      <c r="P63" s="8"/>
      <c r="Q63" s="5">
        <v>0.66666666666666696</v>
      </c>
      <c r="R63" s="5">
        <v>0.5</v>
      </c>
      <c r="T63" s="8"/>
      <c r="U63" s="8"/>
    </row>
    <row r="64" spans="1:21">
      <c r="A64" t="s">
        <v>12</v>
      </c>
      <c r="B64" t="s">
        <v>9</v>
      </c>
      <c r="C64" s="8">
        <v>2</v>
      </c>
      <c r="D64" s="5">
        <v>0.25</v>
      </c>
      <c r="E64" s="9"/>
      <c r="M64" s="8">
        <v>2</v>
      </c>
      <c r="N64" s="8">
        <v>2</v>
      </c>
      <c r="P64" s="8"/>
      <c r="Q64" s="5">
        <v>0.25</v>
      </c>
      <c r="R64" s="5">
        <v>0.5</v>
      </c>
      <c r="T64" s="8"/>
      <c r="U64" s="8"/>
    </row>
    <row r="65" spans="1:21">
      <c r="A65" t="s">
        <v>17</v>
      </c>
      <c r="B65" t="s">
        <v>7</v>
      </c>
      <c r="C65" s="8">
        <v>2.5</v>
      </c>
      <c r="D65" s="5">
        <v>0.8</v>
      </c>
      <c r="E65" s="9"/>
      <c r="M65" s="8">
        <v>2.5</v>
      </c>
      <c r="N65" s="8">
        <v>2</v>
      </c>
      <c r="P65" s="8"/>
      <c r="Q65" s="5">
        <v>0.8</v>
      </c>
      <c r="R65" s="5">
        <v>0.5</v>
      </c>
      <c r="T65" s="8"/>
      <c r="U65" s="8"/>
    </row>
    <row r="66" spans="1:21">
      <c r="A66" t="s">
        <v>26</v>
      </c>
      <c r="B66" t="s">
        <v>19</v>
      </c>
      <c r="C66" s="8">
        <v>2</v>
      </c>
      <c r="D66" s="5">
        <v>0.5</v>
      </c>
      <c r="E66" s="9"/>
      <c r="M66" s="8">
        <v>2</v>
      </c>
      <c r="N66" s="10">
        <v>2</v>
      </c>
      <c r="P66" s="8"/>
      <c r="Q66" s="5">
        <v>0.5</v>
      </c>
      <c r="R66" s="5">
        <v>0.5</v>
      </c>
      <c r="T66" s="8"/>
      <c r="U66" s="8"/>
    </row>
    <row r="67" spans="1:21">
      <c r="A67" t="s">
        <v>15</v>
      </c>
      <c r="B67" t="s">
        <v>22</v>
      </c>
      <c r="C67" s="8">
        <v>3</v>
      </c>
      <c r="D67" s="5">
        <v>0.5</v>
      </c>
      <c r="E67" s="9"/>
      <c r="M67" s="8">
        <v>3</v>
      </c>
      <c r="N67" s="10">
        <v>2</v>
      </c>
      <c r="P67" s="8"/>
      <c r="Q67" s="5">
        <v>0.5</v>
      </c>
      <c r="R67" s="5">
        <v>0.5</v>
      </c>
      <c r="T67" s="8"/>
      <c r="U67" s="8"/>
    </row>
    <row r="68" spans="1:21">
      <c r="A68" t="s">
        <v>17</v>
      </c>
      <c r="B68" t="s">
        <v>7</v>
      </c>
      <c r="C68" s="8">
        <v>2.5</v>
      </c>
      <c r="D68" s="5">
        <v>0.8</v>
      </c>
      <c r="E68" s="9"/>
      <c r="M68" s="8">
        <v>2.5</v>
      </c>
      <c r="N68" s="8">
        <v>2</v>
      </c>
      <c r="P68" s="8"/>
      <c r="Q68" s="5">
        <v>0.8</v>
      </c>
      <c r="R68" s="5">
        <v>0.5</v>
      </c>
      <c r="T68" s="8"/>
      <c r="U68" s="8"/>
    </row>
    <row r="69" spans="1:21">
      <c r="A69" t="s">
        <v>18</v>
      </c>
      <c r="B69" t="s">
        <v>19</v>
      </c>
      <c r="C69" s="8">
        <v>2</v>
      </c>
      <c r="D69" s="5">
        <v>0.75</v>
      </c>
      <c r="E69" s="9"/>
      <c r="M69" s="8">
        <v>2</v>
      </c>
      <c r="N69" s="8">
        <v>2</v>
      </c>
      <c r="P69" s="8"/>
      <c r="Q69" s="5">
        <v>0.75</v>
      </c>
      <c r="R69" s="5">
        <v>0.5</v>
      </c>
      <c r="T69" s="8"/>
      <c r="U69" s="8"/>
    </row>
    <row r="70" spans="1:21">
      <c r="A70" t="s">
        <v>6</v>
      </c>
      <c r="B70" t="s">
        <v>7</v>
      </c>
      <c r="C70" s="8">
        <v>4</v>
      </c>
      <c r="D70" s="5">
        <v>0.5</v>
      </c>
      <c r="E70" s="9"/>
      <c r="M70" s="8">
        <v>4</v>
      </c>
      <c r="N70" s="8">
        <v>2</v>
      </c>
      <c r="P70" s="8"/>
      <c r="Q70" s="5">
        <v>0.5</v>
      </c>
      <c r="R70" s="5">
        <v>0.5</v>
      </c>
      <c r="T70" s="8"/>
      <c r="U70" s="8"/>
    </row>
    <row r="71" spans="1:21">
      <c r="A71" t="s">
        <v>15</v>
      </c>
      <c r="B71" t="s">
        <v>22</v>
      </c>
      <c r="C71" s="8">
        <v>3</v>
      </c>
      <c r="D71" s="5">
        <v>0.5</v>
      </c>
      <c r="E71" s="9"/>
      <c r="M71" s="8">
        <v>3</v>
      </c>
      <c r="N71" s="8">
        <v>2</v>
      </c>
      <c r="P71" s="8"/>
      <c r="Q71" s="5">
        <v>0.5</v>
      </c>
      <c r="R71" s="5">
        <v>0.5</v>
      </c>
      <c r="T71" s="8"/>
      <c r="U71" s="8"/>
    </row>
    <row r="72" spans="1:21">
      <c r="A72" t="s">
        <v>6</v>
      </c>
      <c r="B72" t="s">
        <v>7</v>
      </c>
      <c r="C72" s="8">
        <v>4</v>
      </c>
      <c r="D72" s="5">
        <v>0.5</v>
      </c>
      <c r="E72" s="9"/>
      <c r="M72" s="8">
        <v>4</v>
      </c>
      <c r="N72" s="8">
        <v>2</v>
      </c>
      <c r="P72" s="8"/>
      <c r="Q72" s="5">
        <v>0.5</v>
      </c>
      <c r="R72" s="5">
        <v>0.5</v>
      </c>
      <c r="T72" s="8"/>
      <c r="U72" s="8"/>
    </row>
    <row r="73" spans="1:21">
      <c r="A73" t="s">
        <v>23</v>
      </c>
      <c r="B73" t="s">
        <v>9</v>
      </c>
      <c r="C73" s="8">
        <v>3</v>
      </c>
      <c r="D73" s="5">
        <v>0.5</v>
      </c>
      <c r="E73" s="9"/>
      <c r="M73" s="8">
        <v>3</v>
      </c>
      <c r="N73" s="5">
        <v>2</v>
      </c>
      <c r="P73" s="8"/>
      <c r="Q73" s="5">
        <v>0.5</v>
      </c>
      <c r="R73" s="5">
        <v>0.5</v>
      </c>
      <c r="T73" s="8"/>
      <c r="U73" s="8"/>
    </row>
    <row r="74" spans="1:21">
      <c r="A74" t="s">
        <v>23</v>
      </c>
      <c r="B74" t="s">
        <v>9</v>
      </c>
      <c r="C74" s="8">
        <v>3</v>
      </c>
      <c r="D74" s="5">
        <v>0.5</v>
      </c>
      <c r="E74" s="9"/>
      <c r="M74" s="8">
        <v>3</v>
      </c>
      <c r="N74" s="8">
        <v>2.5</v>
      </c>
      <c r="P74" s="8"/>
      <c r="Q74" s="5">
        <v>0.5</v>
      </c>
      <c r="R74" s="5">
        <v>0.5</v>
      </c>
      <c r="T74" s="8"/>
      <c r="U74" s="8"/>
    </row>
    <row r="75" spans="1:21">
      <c r="A75" t="s">
        <v>23</v>
      </c>
      <c r="B75" t="s">
        <v>9</v>
      </c>
      <c r="C75" s="8">
        <v>3</v>
      </c>
      <c r="D75" s="5">
        <v>0.5</v>
      </c>
      <c r="E75" s="9"/>
      <c r="M75" s="8">
        <v>3</v>
      </c>
      <c r="N75" s="8">
        <v>2.5</v>
      </c>
      <c r="P75" s="8"/>
      <c r="Q75" s="5">
        <v>0.5</v>
      </c>
      <c r="R75" s="5">
        <v>0.5</v>
      </c>
      <c r="T75" s="8"/>
      <c r="U75" s="8"/>
    </row>
    <row r="76" spans="1:21">
      <c r="A76" t="s">
        <v>26</v>
      </c>
      <c r="B76" t="s">
        <v>19</v>
      </c>
      <c r="C76" s="8">
        <v>2</v>
      </c>
      <c r="D76" s="5">
        <v>0.5</v>
      </c>
      <c r="E76" s="9"/>
      <c r="M76" s="8">
        <v>2</v>
      </c>
      <c r="N76" s="8">
        <v>2.5</v>
      </c>
      <c r="P76" s="8"/>
      <c r="Q76" s="5">
        <v>0.5</v>
      </c>
      <c r="R76" s="5">
        <v>0.5</v>
      </c>
      <c r="T76" s="8"/>
      <c r="U76" s="8"/>
    </row>
    <row r="77" spans="1:21">
      <c r="A77" t="s">
        <v>14</v>
      </c>
      <c r="B77" t="s">
        <v>9</v>
      </c>
      <c r="C77" s="8">
        <v>1.5</v>
      </c>
      <c r="D77" s="5">
        <v>0.66666666666666696</v>
      </c>
      <c r="E77" s="9"/>
      <c r="M77" s="8">
        <v>1.5</v>
      </c>
      <c r="N77" s="8">
        <v>2.5</v>
      </c>
      <c r="P77" s="8"/>
      <c r="Q77" s="5">
        <v>0.66666666666666696</v>
      </c>
      <c r="R77" s="5">
        <v>0.5</v>
      </c>
      <c r="T77" s="8"/>
      <c r="U77" s="8"/>
    </row>
    <row r="78" spans="1:21">
      <c r="A78" t="s">
        <v>12</v>
      </c>
      <c r="B78" t="s">
        <v>9</v>
      </c>
      <c r="C78" s="8">
        <v>2</v>
      </c>
      <c r="D78" s="5">
        <v>0.25</v>
      </c>
      <c r="E78" s="9"/>
      <c r="M78" s="8">
        <v>2</v>
      </c>
      <c r="N78" s="8">
        <v>2.5</v>
      </c>
      <c r="P78" s="8"/>
      <c r="Q78" s="5">
        <v>0.25</v>
      </c>
      <c r="R78" s="5">
        <v>0.5</v>
      </c>
      <c r="T78" s="8"/>
      <c r="U78" s="8"/>
    </row>
    <row r="79" spans="1:21">
      <c r="A79" t="s">
        <v>13</v>
      </c>
      <c r="B79" t="s">
        <v>7</v>
      </c>
      <c r="C79" s="8">
        <v>3</v>
      </c>
      <c r="D79" s="5">
        <v>0.83333333333333304</v>
      </c>
      <c r="E79" s="9"/>
      <c r="M79" s="8">
        <v>3</v>
      </c>
      <c r="N79" s="8">
        <v>2.5</v>
      </c>
      <c r="P79" s="8"/>
      <c r="Q79" s="5">
        <v>0.83333333333333304</v>
      </c>
      <c r="R79" s="5">
        <v>0.5</v>
      </c>
      <c r="T79" s="8"/>
      <c r="U79" s="8"/>
    </row>
    <row r="80" spans="1:21">
      <c r="A80" t="s">
        <v>8</v>
      </c>
      <c r="B80" t="s">
        <v>9</v>
      </c>
      <c r="C80" s="8">
        <v>3</v>
      </c>
      <c r="D80" s="5">
        <v>0.66666666666666696</v>
      </c>
      <c r="E80" s="9"/>
      <c r="M80" s="8">
        <v>3</v>
      </c>
      <c r="N80" s="8">
        <v>2.5</v>
      </c>
      <c r="P80" s="8"/>
      <c r="Q80" s="5">
        <v>0.66666666666666696</v>
      </c>
      <c r="R80" s="5">
        <v>0.5</v>
      </c>
      <c r="T80" s="8"/>
      <c r="U80" s="8"/>
    </row>
    <row r="81" spans="1:21">
      <c r="A81" t="s">
        <v>15</v>
      </c>
      <c r="B81" t="s">
        <v>22</v>
      </c>
      <c r="C81" s="8">
        <v>3</v>
      </c>
      <c r="D81" s="5">
        <v>0.5</v>
      </c>
      <c r="E81" s="9"/>
      <c r="M81" s="8">
        <v>3</v>
      </c>
      <c r="N81" s="8">
        <v>2.5</v>
      </c>
      <c r="P81" s="8"/>
      <c r="Q81" s="5">
        <v>0.5</v>
      </c>
      <c r="R81" s="5">
        <v>0.5</v>
      </c>
      <c r="T81" s="8"/>
      <c r="U81" s="8"/>
    </row>
    <row r="82" spans="1:21">
      <c r="A82" t="s">
        <v>28</v>
      </c>
      <c r="B82" t="s">
        <v>9</v>
      </c>
      <c r="C82" s="8">
        <v>5</v>
      </c>
      <c r="D82" s="5">
        <v>0.8</v>
      </c>
      <c r="E82" s="9"/>
      <c r="M82" s="8">
        <v>5</v>
      </c>
      <c r="N82" s="8">
        <v>2.5</v>
      </c>
      <c r="P82" s="8"/>
      <c r="Q82" s="5">
        <v>0.8</v>
      </c>
      <c r="R82" s="5">
        <v>0.5</v>
      </c>
      <c r="T82" s="8"/>
      <c r="U82" s="8"/>
    </row>
    <row r="83" spans="1:21">
      <c r="A83" t="s">
        <v>14</v>
      </c>
      <c r="B83" t="s">
        <v>9</v>
      </c>
      <c r="C83" s="8">
        <v>1.5</v>
      </c>
      <c r="D83" s="5">
        <v>0.66666666666666696</v>
      </c>
      <c r="E83" s="9"/>
      <c r="M83" s="8">
        <v>1.5</v>
      </c>
      <c r="N83" s="8">
        <v>2.5</v>
      </c>
      <c r="P83" s="8"/>
      <c r="Q83" s="5">
        <v>0.66666666666666696</v>
      </c>
      <c r="R83" s="5">
        <v>0.5</v>
      </c>
      <c r="T83" s="8"/>
      <c r="U83" s="8"/>
    </row>
    <row r="84" spans="1:21">
      <c r="A84" t="s">
        <v>29</v>
      </c>
      <c r="B84" t="s">
        <v>22</v>
      </c>
      <c r="C84" s="8">
        <v>3</v>
      </c>
      <c r="D84" s="5">
        <v>0.66666666666666696</v>
      </c>
      <c r="E84" s="9"/>
      <c r="M84" s="8">
        <v>3</v>
      </c>
      <c r="N84" s="8">
        <v>2.5</v>
      </c>
      <c r="P84" s="8"/>
      <c r="Q84" s="5">
        <v>0.66666666666666696</v>
      </c>
      <c r="R84" s="5">
        <v>0.5</v>
      </c>
      <c r="T84" s="8"/>
      <c r="U84" s="8"/>
    </row>
    <row r="85" spans="1:21">
      <c r="A85" t="s">
        <v>18</v>
      </c>
      <c r="B85" t="s">
        <v>19</v>
      </c>
      <c r="C85" s="8">
        <v>2</v>
      </c>
      <c r="D85" s="5">
        <v>0.75</v>
      </c>
      <c r="E85" s="9"/>
      <c r="M85" s="8">
        <v>2</v>
      </c>
      <c r="N85" s="8">
        <v>2.5</v>
      </c>
      <c r="P85" s="8"/>
      <c r="Q85" s="5">
        <v>0.75</v>
      </c>
      <c r="R85" s="5">
        <v>0.5</v>
      </c>
      <c r="T85" s="8"/>
      <c r="U85" s="8"/>
    </row>
    <row r="86" spans="1:21">
      <c r="A86" t="s">
        <v>27</v>
      </c>
      <c r="B86" t="s">
        <v>19</v>
      </c>
      <c r="C86" s="8">
        <v>2</v>
      </c>
      <c r="D86" s="5">
        <v>0.5</v>
      </c>
      <c r="E86" s="9"/>
      <c r="M86" s="8">
        <v>2</v>
      </c>
      <c r="N86" s="8">
        <v>3</v>
      </c>
      <c r="P86" s="8"/>
      <c r="Q86" s="5">
        <v>0.5</v>
      </c>
      <c r="R86" s="5">
        <v>0.5</v>
      </c>
      <c r="T86" s="8"/>
      <c r="U86" s="8"/>
    </row>
    <row r="87" spans="1:21">
      <c r="A87" t="s">
        <v>6</v>
      </c>
      <c r="B87" t="s">
        <v>7</v>
      </c>
      <c r="C87" s="8">
        <v>4</v>
      </c>
      <c r="D87" s="5">
        <v>0.5</v>
      </c>
      <c r="E87" s="9"/>
      <c r="M87" s="8">
        <v>4</v>
      </c>
      <c r="N87" s="8">
        <v>3</v>
      </c>
      <c r="P87" s="8"/>
      <c r="Q87" s="5">
        <v>0.5</v>
      </c>
      <c r="R87" s="5">
        <v>0.5</v>
      </c>
      <c r="T87" s="8"/>
      <c r="U87" s="8"/>
    </row>
    <row r="88" spans="1:21">
      <c r="A88" t="s">
        <v>14</v>
      </c>
      <c r="B88" t="s">
        <v>9</v>
      </c>
      <c r="C88" s="8">
        <v>1.5</v>
      </c>
      <c r="D88" s="5">
        <v>0.66666666666666696</v>
      </c>
      <c r="E88" s="9"/>
      <c r="M88" s="8">
        <v>1.5</v>
      </c>
      <c r="N88" s="8">
        <v>3</v>
      </c>
      <c r="P88" s="8"/>
      <c r="Q88" s="5">
        <v>0.66666666666666696</v>
      </c>
      <c r="R88" s="5">
        <v>0.5</v>
      </c>
      <c r="T88" s="8"/>
      <c r="U88" s="8"/>
    </row>
    <row r="89" spans="1:21">
      <c r="A89" t="s">
        <v>29</v>
      </c>
      <c r="B89" t="s">
        <v>22</v>
      </c>
      <c r="C89" s="8">
        <v>3</v>
      </c>
      <c r="D89" s="5">
        <v>0.66666666666666696</v>
      </c>
      <c r="E89" s="9"/>
      <c r="M89" s="8">
        <v>3</v>
      </c>
      <c r="N89" s="8">
        <v>3</v>
      </c>
      <c r="P89" s="8"/>
      <c r="Q89" s="5">
        <v>0.66666666666666696</v>
      </c>
      <c r="R89" s="5">
        <v>0.5</v>
      </c>
      <c r="T89" s="8"/>
      <c r="U89" s="8"/>
    </row>
    <row r="90" spans="1:21">
      <c r="A90" t="s">
        <v>14</v>
      </c>
      <c r="B90" t="s">
        <v>9</v>
      </c>
      <c r="C90" s="8">
        <v>1.5</v>
      </c>
      <c r="D90" s="5">
        <v>0.66666666666666696</v>
      </c>
      <c r="E90" s="9"/>
      <c r="M90" s="8">
        <v>1.5</v>
      </c>
      <c r="N90" s="8">
        <v>3</v>
      </c>
      <c r="P90" s="8"/>
      <c r="Q90" s="5">
        <v>0.66666666666666696</v>
      </c>
      <c r="R90" s="5">
        <v>0.5</v>
      </c>
      <c r="T90" s="8"/>
      <c r="U90" s="8"/>
    </row>
    <row r="91" spans="1:21">
      <c r="A91" t="s">
        <v>29</v>
      </c>
      <c r="B91" t="s">
        <v>22</v>
      </c>
      <c r="C91" s="8">
        <v>3</v>
      </c>
      <c r="D91" s="5">
        <v>0.66666666666666696</v>
      </c>
      <c r="E91" s="9"/>
      <c r="M91" s="8">
        <v>3</v>
      </c>
      <c r="N91" s="8">
        <v>3</v>
      </c>
      <c r="P91" s="8"/>
      <c r="Q91" s="5">
        <v>0.66666666666666696</v>
      </c>
      <c r="R91" s="5">
        <v>0.5</v>
      </c>
      <c r="T91" s="8"/>
      <c r="U91" s="8"/>
    </row>
    <row r="92" spans="1:21">
      <c r="A92" t="s">
        <v>17</v>
      </c>
      <c r="B92" t="s">
        <v>7</v>
      </c>
      <c r="C92" s="8">
        <v>2.5</v>
      </c>
      <c r="D92" s="5">
        <v>0.8</v>
      </c>
      <c r="E92" s="9"/>
      <c r="M92" s="8">
        <v>2.5</v>
      </c>
      <c r="N92" s="8">
        <v>3</v>
      </c>
      <c r="P92" s="8"/>
      <c r="Q92" s="5">
        <v>0.8</v>
      </c>
      <c r="R92" s="5">
        <v>0.66666666666666696</v>
      </c>
      <c r="T92" s="8"/>
      <c r="U92" s="8"/>
    </row>
    <row r="93" spans="1:21">
      <c r="A93" t="s">
        <v>18</v>
      </c>
      <c r="B93" t="s">
        <v>19</v>
      </c>
      <c r="C93" s="8">
        <v>2</v>
      </c>
      <c r="D93" s="5">
        <v>0.75</v>
      </c>
      <c r="E93" s="9"/>
      <c r="M93" s="8">
        <v>2</v>
      </c>
      <c r="N93" s="8">
        <v>3</v>
      </c>
      <c r="P93" s="8"/>
      <c r="Q93" s="5">
        <v>0.75</v>
      </c>
      <c r="R93" s="5">
        <v>0.66666666666666696</v>
      </c>
      <c r="T93" s="8"/>
      <c r="U93" s="8"/>
    </row>
    <row r="94" spans="1:21">
      <c r="A94" t="s">
        <v>26</v>
      </c>
      <c r="B94" t="s">
        <v>19</v>
      </c>
      <c r="C94" s="8">
        <v>2</v>
      </c>
      <c r="D94" s="5">
        <v>0.5</v>
      </c>
      <c r="E94" s="9"/>
      <c r="M94" s="8">
        <v>2</v>
      </c>
      <c r="N94" s="8">
        <v>3</v>
      </c>
      <c r="P94" s="8"/>
      <c r="Q94" s="5">
        <v>0.5</v>
      </c>
      <c r="R94" s="5">
        <v>0.66666666666666696</v>
      </c>
      <c r="T94" s="8"/>
      <c r="U94" s="8"/>
    </row>
    <row r="95" spans="1:21">
      <c r="A95" t="s">
        <v>12</v>
      </c>
      <c r="B95" t="s">
        <v>9</v>
      </c>
      <c r="C95" s="8">
        <v>2</v>
      </c>
      <c r="D95" s="5">
        <v>0.25</v>
      </c>
      <c r="E95" s="9"/>
      <c r="M95" s="8">
        <v>2</v>
      </c>
      <c r="N95" s="8">
        <v>3</v>
      </c>
      <c r="P95" s="8"/>
      <c r="Q95" s="5">
        <v>0.25</v>
      </c>
      <c r="R95" s="5">
        <v>0.66666666666666696</v>
      </c>
      <c r="T95" s="8"/>
      <c r="U95" s="8"/>
    </row>
    <row r="96" spans="1:21">
      <c r="A96" t="s">
        <v>14</v>
      </c>
      <c r="B96" t="s">
        <v>9</v>
      </c>
      <c r="C96" s="8">
        <v>1.5</v>
      </c>
      <c r="D96" s="5">
        <v>0.66666666666666696</v>
      </c>
      <c r="E96" s="9"/>
      <c r="M96" s="8">
        <v>1.5</v>
      </c>
      <c r="N96" s="8">
        <v>3</v>
      </c>
      <c r="P96" s="8"/>
      <c r="Q96" s="5">
        <v>0.66666666666666696</v>
      </c>
      <c r="R96" s="5">
        <v>0.66666666666666696</v>
      </c>
      <c r="T96" s="8"/>
      <c r="U96" s="8"/>
    </row>
    <row r="97" spans="1:21">
      <c r="A97" t="s">
        <v>26</v>
      </c>
      <c r="B97" t="s">
        <v>19</v>
      </c>
      <c r="C97" s="8">
        <v>2</v>
      </c>
      <c r="D97" s="5">
        <v>0.5</v>
      </c>
      <c r="E97" s="9"/>
      <c r="M97" s="8">
        <v>2</v>
      </c>
      <c r="N97" s="8">
        <v>3</v>
      </c>
      <c r="P97" s="8"/>
      <c r="Q97" s="5">
        <v>0.5</v>
      </c>
      <c r="R97" s="5">
        <v>0.66666666666666696</v>
      </c>
      <c r="T97" s="8"/>
      <c r="U97" s="8"/>
    </row>
    <row r="98" spans="1:21">
      <c r="A98" t="s">
        <v>29</v>
      </c>
      <c r="B98" t="s">
        <v>22</v>
      </c>
      <c r="C98" s="8">
        <v>3</v>
      </c>
      <c r="D98" s="5">
        <v>0.66666666666666696</v>
      </c>
      <c r="E98" s="9"/>
      <c r="M98" s="8">
        <v>3</v>
      </c>
      <c r="N98" s="8">
        <v>3</v>
      </c>
      <c r="P98" s="8"/>
      <c r="Q98" s="5">
        <v>0.66666666666666696</v>
      </c>
      <c r="R98" s="5">
        <v>0.66666666666666696</v>
      </c>
      <c r="T98" s="8"/>
      <c r="U98" s="8"/>
    </row>
    <row r="99" spans="1:21">
      <c r="A99" t="s">
        <v>27</v>
      </c>
      <c r="B99" t="s">
        <v>19</v>
      </c>
      <c r="C99" s="8">
        <v>2</v>
      </c>
      <c r="D99" s="5">
        <v>0.5</v>
      </c>
      <c r="E99" s="9"/>
      <c r="M99" s="8">
        <v>2</v>
      </c>
      <c r="N99" s="8">
        <v>3</v>
      </c>
      <c r="P99" s="8"/>
      <c r="Q99" s="5">
        <v>0.5</v>
      </c>
      <c r="R99" s="5">
        <v>0.66666666666666696</v>
      </c>
      <c r="T99" s="8"/>
      <c r="U99" s="8"/>
    </row>
    <row r="100" spans="1:21">
      <c r="A100" t="s">
        <v>6</v>
      </c>
      <c r="B100" t="s">
        <v>7</v>
      </c>
      <c r="C100" s="8">
        <v>3</v>
      </c>
      <c r="D100" s="5">
        <v>0.5</v>
      </c>
      <c r="E100" s="9"/>
      <c r="M100" s="8">
        <v>3</v>
      </c>
      <c r="N100" s="8">
        <v>3</v>
      </c>
      <c r="P100" s="8"/>
      <c r="Q100" s="5">
        <v>0.5</v>
      </c>
      <c r="R100" s="5">
        <v>0.66666666666666696</v>
      </c>
      <c r="T100" s="8"/>
      <c r="U100" s="8"/>
    </row>
    <row r="101" spans="1:21">
      <c r="A101" t="s">
        <v>8</v>
      </c>
      <c r="B101" t="s">
        <v>9</v>
      </c>
      <c r="C101" s="8">
        <v>3</v>
      </c>
      <c r="D101" s="5">
        <v>0.66666666666666696</v>
      </c>
      <c r="E101" s="9"/>
      <c r="M101" s="8">
        <v>3</v>
      </c>
      <c r="N101" s="8">
        <v>3</v>
      </c>
      <c r="P101" s="8"/>
      <c r="Q101" s="5">
        <v>0.66666666666666696</v>
      </c>
      <c r="R101" s="5">
        <v>0.66666666666666696</v>
      </c>
      <c r="T101" s="8"/>
      <c r="U101" s="8"/>
    </row>
    <row r="102" spans="1:21">
      <c r="A102" t="s">
        <v>6</v>
      </c>
      <c r="B102" t="s">
        <v>7</v>
      </c>
      <c r="C102" s="8">
        <v>4</v>
      </c>
      <c r="D102" s="5">
        <v>0.5</v>
      </c>
      <c r="E102" s="9"/>
      <c r="M102" s="8">
        <v>4</v>
      </c>
      <c r="N102" s="8">
        <v>3</v>
      </c>
      <c r="P102" s="8"/>
      <c r="Q102" s="5">
        <v>0.5</v>
      </c>
      <c r="R102" s="5">
        <v>0.66666666666666696</v>
      </c>
      <c r="T102" s="8"/>
      <c r="U102" s="8"/>
    </row>
    <row r="103" spans="1:21">
      <c r="A103" t="s">
        <v>29</v>
      </c>
      <c r="B103" t="s">
        <v>22</v>
      </c>
      <c r="C103" s="8">
        <v>3</v>
      </c>
      <c r="D103" s="5">
        <v>0.66666666666666696</v>
      </c>
      <c r="E103" s="9"/>
      <c r="M103" s="8">
        <v>3</v>
      </c>
      <c r="N103" s="8">
        <v>3</v>
      </c>
      <c r="P103" s="8"/>
      <c r="Q103" s="5">
        <v>0.66666666666666696</v>
      </c>
      <c r="R103" s="5">
        <v>0.66666666666666696</v>
      </c>
      <c r="T103" s="8"/>
      <c r="U103" s="8"/>
    </row>
    <row r="104" spans="1:21">
      <c r="A104" t="s">
        <v>26</v>
      </c>
      <c r="B104" t="s">
        <v>19</v>
      </c>
      <c r="C104" s="8">
        <v>2</v>
      </c>
      <c r="D104" s="5">
        <v>0.5</v>
      </c>
      <c r="E104" s="9"/>
      <c r="M104" s="8">
        <v>2</v>
      </c>
      <c r="N104" s="8">
        <v>3</v>
      </c>
      <c r="P104" s="8"/>
      <c r="Q104" s="5">
        <v>0.5</v>
      </c>
      <c r="R104" s="5">
        <v>0.66666666666666696</v>
      </c>
      <c r="T104" s="8"/>
      <c r="U104" s="8"/>
    </row>
    <row r="105" spans="1:21">
      <c r="A105" t="s">
        <v>30</v>
      </c>
      <c r="B105" t="s">
        <v>9</v>
      </c>
      <c r="C105" s="8">
        <v>3</v>
      </c>
      <c r="D105" s="5">
        <v>0.66666666666666696</v>
      </c>
      <c r="E105" s="9"/>
      <c r="M105" s="8">
        <v>3</v>
      </c>
      <c r="N105" s="8">
        <v>3</v>
      </c>
      <c r="P105" s="8"/>
      <c r="Q105" s="5">
        <v>0.66666666666666696</v>
      </c>
      <c r="R105" s="5">
        <v>0.66666666666666696</v>
      </c>
      <c r="T105" s="8"/>
      <c r="U105" s="8"/>
    </row>
    <row r="106" spans="1:21">
      <c r="A106" t="s">
        <v>27</v>
      </c>
      <c r="B106" t="s">
        <v>19</v>
      </c>
      <c r="C106" s="8">
        <v>20</v>
      </c>
      <c r="D106" s="5">
        <v>0.5</v>
      </c>
      <c r="E106" s="9"/>
      <c r="M106" s="8">
        <v>20</v>
      </c>
      <c r="N106" s="8">
        <v>3</v>
      </c>
      <c r="P106" s="8"/>
      <c r="Q106" s="5">
        <v>0.5</v>
      </c>
      <c r="R106" s="5">
        <v>0.66666666666666696</v>
      </c>
      <c r="T106" s="8"/>
      <c r="U106" s="8"/>
    </row>
    <row r="107" spans="1:21">
      <c r="A107" t="s">
        <v>8</v>
      </c>
      <c r="B107" t="s">
        <v>9</v>
      </c>
      <c r="C107" s="8">
        <v>3</v>
      </c>
      <c r="D107" s="5">
        <v>0.66666666666666696</v>
      </c>
      <c r="E107" s="9"/>
      <c r="M107" s="8">
        <v>3</v>
      </c>
      <c r="N107" s="8">
        <v>3</v>
      </c>
      <c r="P107" s="8"/>
      <c r="Q107" s="5">
        <v>0.66666666666666696</v>
      </c>
      <c r="R107" s="5">
        <v>0.66666666666666696</v>
      </c>
      <c r="T107" s="8"/>
      <c r="U107" s="8"/>
    </row>
    <row r="108" spans="1:21">
      <c r="A108" t="s">
        <v>17</v>
      </c>
      <c r="B108" t="s">
        <v>7</v>
      </c>
      <c r="C108" s="8">
        <v>2.5</v>
      </c>
      <c r="D108" s="5">
        <v>0.8</v>
      </c>
      <c r="E108" s="9"/>
      <c r="M108" s="8">
        <v>2.5</v>
      </c>
      <c r="N108" s="8">
        <v>3</v>
      </c>
      <c r="P108" s="8"/>
      <c r="Q108" s="5">
        <v>0.8</v>
      </c>
      <c r="R108" s="5">
        <v>0.66666666666666696</v>
      </c>
      <c r="T108" s="8"/>
      <c r="U108" s="8"/>
    </row>
    <row r="109" spans="1:21">
      <c r="A109" t="s">
        <v>13</v>
      </c>
      <c r="B109" t="s">
        <v>7</v>
      </c>
      <c r="C109" s="8">
        <v>3</v>
      </c>
      <c r="D109" s="5">
        <v>0.83333333333333304</v>
      </c>
      <c r="E109" s="9"/>
      <c r="M109" s="8">
        <v>3</v>
      </c>
      <c r="N109" s="8">
        <v>3</v>
      </c>
      <c r="P109" s="8"/>
      <c r="Q109" s="5">
        <v>0.83333333333333304</v>
      </c>
      <c r="R109" s="5">
        <v>0.66666666666666696</v>
      </c>
      <c r="T109" s="8"/>
      <c r="U109" s="8"/>
    </row>
    <row r="110" spans="1:21">
      <c r="A110" t="s">
        <v>8</v>
      </c>
      <c r="B110" t="s">
        <v>9</v>
      </c>
      <c r="C110" s="8">
        <v>3</v>
      </c>
      <c r="D110" s="5">
        <v>0.66666666666666696</v>
      </c>
      <c r="E110" s="9"/>
      <c r="M110" s="8">
        <v>3</v>
      </c>
      <c r="N110" s="8">
        <v>3</v>
      </c>
      <c r="P110" s="8"/>
      <c r="Q110" s="5">
        <v>0.66666666666666696</v>
      </c>
      <c r="R110" s="5">
        <v>0.66666666666666696</v>
      </c>
      <c r="T110" s="8"/>
      <c r="U110" s="8"/>
    </row>
    <row r="111" spans="1:21">
      <c r="A111" t="s">
        <v>29</v>
      </c>
      <c r="B111" t="s">
        <v>22</v>
      </c>
      <c r="C111" s="8">
        <v>3</v>
      </c>
      <c r="D111" s="5">
        <v>0.66666666666666696</v>
      </c>
      <c r="E111" s="9"/>
      <c r="M111" s="8">
        <v>3</v>
      </c>
      <c r="N111" s="8">
        <v>3</v>
      </c>
      <c r="P111" s="8"/>
      <c r="Q111" s="5">
        <v>0.66666666666666696</v>
      </c>
      <c r="R111" s="5">
        <v>0.66666666666666696</v>
      </c>
      <c r="T111" s="8"/>
      <c r="U111" s="8"/>
    </row>
    <row r="112" spans="1:21">
      <c r="A112" t="s">
        <v>26</v>
      </c>
      <c r="B112" t="s">
        <v>19</v>
      </c>
      <c r="C112" s="8">
        <v>2</v>
      </c>
      <c r="D112" s="5">
        <v>0.5</v>
      </c>
      <c r="E112" s="9"/>
      <c r="M112" s="8">
        <v>2</v>
      </c>
      <c r="N112" s="8">
        <v>3</v>
      </c>
      <c r="P112" s="8"/>
      <c r="Q112" s="5">
        <v>0.5</v>
      </c>
      <c r="R112" s="5">
        <v>0.66666666666666696</v>
      </c>
      <c r="T112" s="8"/>
      <c r="U112" s="8"/>
    </row>
    <row r="113" spans="1:21">
      <c r="A113" t="s">
        <v>13</v>
      </c>
      <c r="B113" t="s">
        <v>7</v>
      </c>
      <c r="C113" s="8">
        <v>3</v>
      </c>
      <c r="D113" s="5">
        <v>0.83333333333333304</v>
      </c>
      <c r="E113" s="9"/>
      <c r="M113" s="8">
        <v>3</v>
      </c>
      <c r="N113" s="8">
        <v>3</v>
      </c>
      <c r="P113" s="8"/>
      <c r="Q113" s="5">
        <v>0.83333333333333304</v>
      </c>
      <c r="R113" s="5">
        <v>0.66666666666666696</v>
      </c>
      <c r="T113" s="8"/>
      <c r="U113" s="8"/>
    </row>
    <row r="114" spans="1:21">
      <c r="A114" t="s">
        <v>14</v>
      </c>
      <c r="B114" t="s">
        <v>9</v>
      </c>
      <c r="C114" s="8">
        <v>1.5</v>
      </c>
      <c r="D114" s="5">
        <v>0.66666666666666696</v>
      </c>
      <c r="E114" s="9"/>
      <c r="M114" s="8">
        <v>1.5</v>
      </c>
      <c r="N114" s="8">
        <v>3</v>
      </c>
      <c r="P114" s="8"/>
      <c r="Q114" s="5">
        <v>0.66666666666666696</v>
      </c>
      <c r="R114" s="5">
        <v>0.66666666666666696</v>
      </c>
      <c r="T114" s="8"/>
      <c r="U114" s="8"/>
    </row>
    <row r="115" spans="1:21">
      <c r="A115" t="s">
        <v>17</v>
      </c>
      <c r="B115" t="s">
        <v>7</v>
      </c>
      <c r="C115" s="8">
        <v>2.5</v>
      </c>
      <c r="D115" s="5">
        <v>0.8</v>
      </c>
      <c r="E115" s="9"/>
      <c r="M115" s="8">
        <v>2.5</v>
      </c>
      <c r="N115" s="8">
        <v>3</v>
      </c>
      <c r="P115" s="8"/>
      <c r="Q115" s="5">
        <v>0.8</v>
      </c>
      <c r="R115" s="5">
        <v>0.66666666666666696</v>
      </c>
      <c r="T115" s="8"/>
      <c r="U115" s="8"/>
    </row>
    <row r="116" spans="1:21">
      <c r="A116" t="s">
        <v>12</v>
      </c>
      <c r="B116" t="s">
        <v>9</v>
      </c>
      <c r="C116" s="8">
        <v>2</v>
      </c>
      <c r="D116" s="5">
        <v>0.25</v>
      </c>
      <c r="E116" s="9"/>
      <c r="M116" s="8">
        <v>2</v>
      </c>
      <c r="N116" s="8">
        <v>3</v>
      </c>
      <c r="P116" s="8"/>
      <c r="Q116" s="5">
        <v>0.25</v>
      </c>
      <c r="R116" s="5">
        <v>0.66666666666666696</v>
      </c>
      <c r="T116" s="8"/>
      <c r="U116" s="8"/>
    </row>
    <row r="117" spans="1:21">
      <c r="A117" t="s">
        <v>10</v>
      </c>
      <c r="B117" t="s">
        <v>9</v>
      </c>
      <c r="C117" s="8">
        <v>5</v>
      </c>
      <c r="D117" s="5">
        <v>0.8</v>
      </c>
      <c r="E117" s="9"/>
      <c r="M117" s="8">
        <v>5</v>
      </c>
      <c r="N117" s="8">
        <v>3</v>
      </c>
      <c r="P117" s="8"/>
      <c r="Q117" s="5">
        <v>0.8</v>
      </c>
      <c r="R117" s="5">
        <v>0.66666666666666696</v>
      </c>
      <c r="T117" s="8"/>
      <c r="U117" s="8"/>
    </row>
    <row r="118" spans="1:21">
      <c r="A118" t="s">
        <v>10</v>
      </c>
      <c r="B118" t="s">
        <v>9</v>
      </c>
      <c r="C118" s="8">
        <v>5</v>
      </c>
      <c r="D118" s="5">
        <v>0.8</v>
      </c>
      <c r="E118" s="9"/>
      <c r="M118" s="8">
        <v>5</v>
      </c>
      <c r="N118" s="8">
        <v>3</v>
      </c>
      <c r="P118" s="8"/>
      <c r="Q118" s="5">
        <v>0.8</v>
      </c>
      <c r="R118" s="5">
        <v>0.66666666666666696</v>
      </c>
      <c r="T118" s="8"/>
      <c r="U118" s="8"/>
    </row>
    <row r="119" spans="1:21">
      <c r="A119" t="s">
        <v>29</v>
      </c>
      <c r="B119" t="s">
        <v>22</v>
      </c>
      <c r="C119" s="8">
        <v>3</v>
      </c>
      <c r="D119" s="5">
        <v>0.66666666666666696</v>
      </c>
      <c r="E119" s="9"/>
      <c r="M119" s="8">
        <v>3</v>
      </c>
      <c r="N119" s="8">
        <v>3</v>
      </c>
      <c r="P119" s="8"/>
      <c r="Q119" s="5">
        <v>0.66666666666666696</v>
      </c>
      <c r="R119" s="5">
        <v>0.66666666666666696</v>
      </c>
      <c r="T119" s="8"/>
      <c r="U119" s="8"/>
    </row>
    <row r="120" spans="1:21">
      <c r="A120" t="s">
        <v>10</v>
      </c>
      <c r="B120" t="s">
        <v>9</v>
      </c>
      <c r="C120" s="8">
        <v>5</v>
      </c>
      <c r="D120" s="5">
        <v>0.8</v>
      </c>
      <c r="E120" s="9"/>
      <c r="M120" s="8">
        <v>5</v>
      </c>
      <c r="N120" s="8">
        <v>3</v>
      </c>
      <c r="P120" s="8"/>
      <c r="Q120" s="5">
        <v>0.8</v>
      </c>
      <c r="R120" s="5">
        <v>0.66666666666666696</v>
      </c>
      <c r="T120" s="8"/>
      <c r="U120" s="8"/>
    </row>
    <row r="121" spans="1:21">
      <c r="A121" t="s">
        <v>13</v>
      </c>
      <c r="B121" t="s">
        <v>7</v>
      </c>
      <c r="C121" s="8">
        <v>3</v>
      </c>
      <c r="D121" s="5">
        <v>0.83333333333333304</v>
      </c>
      <c r="E121" s="9"/>
      <c r="M121" s="8">
        <v>3</v>
      </c>
      <c r="N121" s="8">
        <v>3</v>
      </c>
      <c r="P121" s="8"/>
      <c r="Q121" s="5">
        <v>0.83333333333333304</v>
      </c>
      <c r="R121" s="5">
        <v>0.66666666666666696</v>
      </c>
      <c r="T121" s="8"/>
      <c r="U121" s="8"/>
    </row>
    <row r="122" spans="1:21">
      <c r="A122" t="s">
        <v>27</v>
      </c>
      <c r="B122" t="s">
        <v>19</v>
      </c>
      <c r="C122" s="8">
        <v>2</v>
      </c>
      <c r="D122" s="5">
        <v>0.5</v>
      </c>
      <c r="E122" s="9"/>
      <c r="M122" s="8">
        <v>2</v>
      </c>
      <c r="N122" s="8">
        <v>3</v>
      </c>
      <c r="P122" s="8"/>
      <c r="Q122" s="5">
        <v>0.5</v>
      </c>
      <c r="R122" s="5">
        <v>0.66666666666666696</v>
      </c>
      <c r="T122" s="8"/>
      <c r="U122" s="8"/>
    </row>
    <row r="123" spans="1:21">
      <c r="A123" t="s">
        <v>13</v>
      </c>
      <c r="B123" t="s">
        <v>7</v>
      </c>
      <c r="C123" s="8">
        <v>3</v>
      </c>
      <c r="D123" s="5">
        <v>0.83333333333333304</v>
      </c>
      <c r="E123" s="9"/>
      <c r="M123" s="8">
        <v>3</v>
      </c>
      <c r="N123" s="8">
        <v>3</v>
      </c>
      <c r="P123" s="8"/>
      <c r="Q123" s="5">
        <v>0.83333333333333304</v>
      </c>
      <c r="R123" s="5">
        <v>0.66666666666666696</v>
      </c>
      <c r="T123" s="8"/>
      <c r="U123" s="8"/>
    </row>
    <row r="124" spans="1:21">
      <c r="A124" t="s">
        <v>29</v>
      </c>
      <c r="B124" t="s">
        <v>22</v>
      </c>
      <c r="C124" s="8">
        <v>3</v>
      </c>
      <c r="D124" s="5">
        <v>0.66666666666666696</v>
      </c>
      <c r="E124" s="9"/>
      <c r="M124" s="8">
        <v>3</v>
      </c>
      <c r="N124" s="8">
        <v>3</v>
      </c>
      <c r="P124" s="8"/>
      <c r="Q124" s="5">
        <v>0.66666666666666696</v>
      </c>
      <c r="R124" s="5">
        <v>0.66666666666666696</v>
      </c>
      <c r="T124" s="8"/>
      <c r="U124" s="8"/>
    </row>
    <row r="125" spans="1:21">
      <c r="A125" t="s">
        <v>12</v>
      </c>
      <c r="B125" t="s">
        <v>9</v>
      </c>
      <c r="C125" s="8">
        <v>2</v>
      </c>
      <c r="D125" s="5">
        <v>0.25</v>
      </c>
      <c r="E125" s="9"/>
      <c r="M125" s="8">
        <v>2</v>
      </c>
      <c r="N125" s="8">
        <v>3</v>
      </c>
      <c r="P125" s="8"/>
      <c r="Q125" s="5">
        <v>0.25</v>
      </c>
      <c r="R125" s="5">
        <v>0.66666666666666696</v>
      </c>
      <c r="T125" s="8"/>
      <c r="U125" s="8"/>
    </row>
    <row r="126" spans="1:21">
      <c r="A126" t="s">
        <v>12</v>
      </c>
      <c r="B126" t="s">
        <v>9</v>
      </c>
      <c r="C126" s="8">
        <v>2</v>
      </c>
      <c r="D126" s="5">
        <v>0.25</v>
      </c>
      <c r="E126" s="9"/>
      <c r="M126" s="8">
        <v>2</v>
      </c>
      <c r="N126" s="8">
        <v>3</v>
      </c>
      <c r="P126" s="8"/>
      <c r="Q126" s="5">
        <v>0.25</v>
      </c>
      <c r="R126" s="5">
        <v>0.66666666666666696</v>
      </c>
      <c r="T126" s="8"/>
      <c r="U126" s="8"/>
    </row>
    <row r="127" spans="1:21">
      <c r="A127" t="s">
        <v>29</v>
      </c>
      <c r="B127" t="s">
        <v>22</v>
      </c>
      <c r="C127" s="8">
        <v>3</v>
      </c>
      <c r="D127" s="5">
        <v>0.66666666666666696</v>
      </c>
      <c r="E127" s="9"/>
      <c r="M127" s="8">
        <v>3</v>
      </c>
      <c r="N127" s="8">
        <v>3</v>
      </c>
      <c r="P127" s="8"/>
      <c r="Q127" s="5">
        <v>0.66666666666666696</v>
      </c>
      <c r="R127" s="5">
        <v>0.66666666666666696</v>
      </c>
      <c r="T127" s="8"/>
      <c r="U127" s="8"/>
    </row>
    <row r="128" spans="1:21">
      <c r="A128" t="s">
        <v>12</v>
      </c>
      <c r="B128" t="s">
        <v>9</v>
      </c>
      <c r="C128" s="8">
        <v>2</v>
      </c>
      <c r="D128" s="5">
        <v>0.25</v>
      </c>
      <c r="E128" s="9"/>
      <c r="M128" s="8">
        <v>2</v>
      </c>
      <c r="N128" s="8">
        <v>3</v>
      </c>
      <c r="P128" s="8"/>
      <c r="Q128" s="5">
        <v>0.25</v>
      </c>
      <c r="R128" s="5">
        <v>0.66666666666666696</v>
      </c>
      <c r="T128" s="8"/>
      <c r="U128" s="8"/>
    </row>
    <row r="129" spans="1:21">
      <c r="A129" t="s">
        <v>26</v>
      </c>
      <c r="B129" t="s">
        <v>19</v>
      </c>
      <c r="C129" s="8">
        <v>2</v>
      </c>
      <c r="D129" s="5">
        <v>0.5</v>
      </c>
      <c r="E129" s="9"/>
      <c r="M129" s="8">
        <v>2</v>
      </c>
      <c r="N129" s="8">
        <v>3</v>
      </c>
      <c r="P129" s="8"/>
      <c r="Q129" s="5">
        <v>0.5</v>
      </c>
      <c r="R129" s="5">
        <v>0.66666666666666696</v>
      </c>
      <c r="T129" s="8"/>
      <c r="U129" s="8"/>
    </row>
    <row r="130" spans="1:21">
      <c r="A130" t="s">
        <v>18</v>
      </c>
      <c r="B130" t="s">
        <v>19</v>
      </c>
      <c r="C130" s="8">
        <v>2</v>
      </c>
      <c r="D130" s="5">
        <v>0.75</v>
      </c>
      <c r="E130" s="9"/>
      <c r="M130" s="8">
        <v>2</v>
      </c>
      <c r="N130" s="8">
        <v>3</v>
      </c>
      <c r="P130" s="8"/>
      <c r="Q130" s="5">
        <v>0.75</v>
      </c>
      <c r="R130" s="5">
        <v>0.66666666666666696</v>
      </c>
      <c r="T130" s="8"/>
      <c r="U130" s="8"/>
    </row>
    <row r="131" spans="1:21">
      <c r="A131" t="s">
        <v>6</v>
      </c>
      <c r="B131" t="s">
        <v>7</v>
      </c>
      <c r="C131" s="8">
        <v>4</v>
      </c>
      <c r="D131" s="5">
        <v>0.5</v>
      </c>
      <c r="E131" s="9"/>
      <c r="M131" s="8">
        <v>4</v>
      </c>
      <c r="N131" s="8">
        <v>3</v>
      </c>
      <c r="P131" s="8"/>
      <c r="Q131" s="5">
        <v>0.5</v>
      </c>
      <c r="R131" s="5">
        <v>0.66666666666666696</v>
      </c>
      <c r="T131" s="8"/>
      <c r="U131" s="8"/>
    </row>
    <row r="132" spans="1:21">
      <c r="A132" t="s">
        <v>29</v>
      </c>
      <c r="B132" t="s">
        <v>22</v>
      </c>
      <c r="C132" s="8">
        <v>3</v>
      </c>
      <c r="D132" s="5">
        <v>0.66666666666666696</v>
      </c>
      <c r="E132" s="9"/>
      <c r="M132" s="8">
        <v>3</v>
      </c>
      <c r="N132" s="8">
        <v>3</v>
      </c>
      <c r="P132" s="8"/>
      <c r="Q132" s="5">
        <v>0.66666666666666696</v>
      </c>
      <c r="R132" s="5">
        <v>0.66666666666666696</v>
      </c>
      <c r="T132" s="8"/>
      <c r="U132" s="8"/>
    </row>
    <row r="133" spans="1:21">
      <c r="A133" t="s">
        <v>23</v>
      </c>
      <c r="B133" t="s">
        <v>9</v>
      </c>
      <c r="C133" s="8">
        <v>3</v>
      </c>
      <c r="D133" s="5">
        <v>0.5</v>
      </c>
      <c r="E133" s="9"/>
      <c r="M133" s="8">
        <v>3</v>
      </c>
      <c r="N133" s="8">
        <v>3</v>
      </c>
      <c r="P133" s="8"/>
      <c r="Q133" s="5">
        <v>0.5</v>
      </c>
      <c r="R133" s="5">
        <v>0.75</v>
      </c>
      <c r="T133" s="8"/>
      <c r="U133" s="8"/>
    </row>
    <row r="134" spans="1:21">
      <c r="A134" t="s">
        <v>13</v>
      </c>
      <c r="B134" t="s">
        <v>7</v>
      </c>
      <c r="C134" s="8">
        <v>3</v>
      </c>
      <c r="D134" s="5">
        <v>0.83333333333333304</v>
      </c>
      <c r="E134" s="9"/>
      <c r="M134" s="8">
        <v>3</v>
      </c>
      <c r="N134" s="8">
        <v>3</v>
      </c>
      <c r="P134" s="8"/>
      <c r="Q134" s="5">
        <v>0.83333333333333304</v>
      </c>
      <c r="R134" s="5">
        <v>0.75</v>
      </c>
      <c r="T134" s="8"/>
      <c r="U134" s="8"/>
    </row>
    <row r="135" spans="1:21">
      <c r="A135" t="s">
        <v>6</v>
      </c>
      <c r="B135" t="s">
        <v>31</v>
      </c>
      <c r="C135" s="8">
        <v>4</v>
      </c>
      <c r="D135" s="5">
        <v>0.5</v>
      </c>
      <c r="E135" s="9"/>
      <c r="M135" s="8">
        <v>4</v>
      </c>
      <c r="N135" s="8">
        <v>3</v>
      </c>
      <c r="P135" s="8"/>
      <c r="Q135" s="5">
        <v>0.5</v>
      </c>
      <c r="R135" s="5">
        <v>0.75</v>
      </c>
      <c r="T135" s="8"/>
      <c r="U135" s="8"/>
    </row>
    <row r="136" spans="1:21">
      <c r="A136" t="s">
        <v>8</v>
      </c>
      <c r="B136" t="s">
        <v>9</v>
      </c>
      <c r="C136" s="8">
        <v>3</v>
      </c>
      <c r="D136" s="5">
        <v>0.66666666666666696</v>
      </c>
      <c r="E136" s="9"/>
      <c r="M136" s="8">
        <v>3</v>
      </c>
      <c r="N136" s="8">
        <v>3</v>
      </c>
      <c r="P136" s="8"/>
      <c r="Q136" s="5">
        <v>0.66666666666666696</v>
      </c>
      <c r="R136" s="5">
        <v>0.75</v>
      </c>
      <c r="T136" s="8"/>
      <c r="U136" s="8"/>
    </row>
    <row r="137" spans="1:21">
      <c r="A137" t="s">
        <v>18</v>
      </c>
      <c r="B137" t="s">
        <v>19</v>
      </c>
      <c r="C137" s="8">
        <v>2</v>
      </c>
      <c r="D137" s="5">
        <v>0.75</v>
      </c>
      <c r="E137" s="9"/>
      <c r="M137" s="8">
        <v>2</v>
      </c>
      <c r="N137" s="8">
        <v>3</v>
      </c>
      <c r="P137" s="8"/>
      <c r="Q137" s="5">
        <v>0.75</v>
      </c>
      <c r="R137" s="5">
        <v>0.75</v>
      </c>
      <c r="T137" s="8"/>
      <c r="U137" s="8"/>
    </row>
    <row r="138" spans="1:21">
      <c r="A138" t="s">
        <v>10</v>
      </c>
      <c r="B138" t="s">
        <v>9</v>
      </c>
      <c r="C138" s="8">
        <v>5</v>
      </c>
      <c r="D138" s="5">
        <v>0.8</v>
      </c>
      <c r="E138" s="9"/>
      <c r="M138" s="8">
        <v>5</v>
      </c>
      <c r="N138" s="8">
        <v>3</v>
      </c>
      <c r="P138" s="8"/>
      <c r="Q138" s="5">
        <v>0.8</v>
      </c>
      <c r="R138" s="5">
        <v>0.75</v>
      </c>
      <c r="T138" s="8"/>
      <c r="U138" s="8"/>
    </row>
    <row r="139" spans="1:21">
      <c r="A139" t="s">
        <v>8</v>
      </c>
      <c r="B139" t="s">
        <v>9</v>
      </c>
      <c r="C139" s="8">
        <v>3</v>
      </c>
      <c r="D139" s="5">
        <v>0.66666666666666696</v>
      </c>
      <c r="E139" s="9"/>
      <c r="M139" s="8">
        <v>3</v>
      </c>
      <c r="N139" s="8">
        <v>3</v>
      </c>
      <c r="P139" s="8"/>
      <c r="Q139" s="5">
        <v>0.66666666666666696</v>
      </c>
      <c r="R139" s="5">
        <v>0.75</v>
      </c>
      <c r="T139" s="8"/>
      <c r="U139" s="8"/>
    </row>
    <row r="140" spans="1:21">
      <c r="A140" t="s">
        <v>17</v>
      </c>
      <c r="B140" t="s">
        <v>7</v>
      </c>
      <c r="C140" s="8">
        <v>2.5</v>
      </c>
      <c r="D140" s="5">
        <v>0.8</v>
      </c>
      <c r="E140" s="9"/>
      <c r="M140" s="8">
        <v>2.5</v>
      </c>
      <c r="N140" s="8">
        <v>3</v>
      </c>
      <c r="P140" s="8"/>
      <c r="Q140" s="5">
        <v>0.8</v>
      </c>
      <c r="R140" s="5">
        <v>0.75</v>
      </c>
      <c r="T140" s="8"/>
      <c r="U140" s="8"/>
    </row>
    <row r="141" spans="1:21">
      <c r="A141" t="s">
        <v>12</v>
      </c>
      <c r="B141" t="s">
        <v>9</v>
      </c>
      <c r="C141" s="8">
        <v>2</v>
      </c>
      <c r="D141" s="5">
        <v>0.25</v>
      </c>
      <c r="E141" s="9"/>
      <c r="M141" s="8">
        <v>2</v>
      </c>
      <c r="N141" s="8">
        <v>3</v>
      </c>
      <c r="P141" s="8"/>
      <c r="Q141" s="5">
        <v>0.25</v>
      </c>
      <c r="R141" s="5">
        <v>0.75</v>
      </c>
      <c r="T141" s="8"/>
      <c r="U141" s="8"/>
    </row>
    <row r="142" spans="1:21">
      <c r="A142" t="s">
        <v>14</v>
      </c>
      <c r="B142" t="s">
        <v>9</v>
      </c>
      <c r="C142" s="8">
        <v>1.5</v>
      </c>
      <c r="D142" s="5">
        <v>0.66666666666666696</v>
      </c>
      <c r="E142" s="9"/>
      <c r="M142" s="8">
        <v>1.5</v>
      </c>
      <c r="N142" s="8">
        <v>3</v>
      </c>
      <c r="P142" s="8"/>
      <c r="Q142" s="5">
        <v>0.66666666666666696</v>
      </c>
      <c r="R142" s="5">
        <v>0.75</v>
      </c>
      <c r="T142" s="8"/>
      <c r="U142" s="8"/>
    </row>
    <row r="143" spans="1:21">
      <c r="A143" t="s">
        <v>14</v>
      </c>
      <c r="B143" t="s">
        <v>9</v>
      </c>
      <c r="C143" s="8">
        <v>1.5</v>
      </c>
      <c r="D143" s="5">
        <v>0.66666666666666696</v>
      </c>
      <c r="E143" s="9"/>
      <c r="M143" s="8">
        <v>1.5</v>
      </c>
      <c r="N143" s="8">
        <v>3</v>
      </c>
      <c r="P143" s="8"/>
      <c r="Q143" s="5">
        <v>0.66666666666666696</v>
      </c>
      <c r="R143" s="5">
        <v>0.75</v>
      </c>
      <c r="T143" s="8"/>
      <c r="U143" s="8"/>
    </row>
    <row r="144" spans="1:21">
      <c r="A144" t="s">
        <v>23</v>
      </c>
      <c r="B144" t="s">
        <v>9</v>
      </c>
      <c r="C144" s="8">
        <v>3</v>
      </c>
      <c r="D144" s="5">
        <v>0.5</v>
      </c>
      <c r="E144" s="9"/>
      <c r="M144" s="8">
        <v>3</v>
      </c>
      <c r="N144" s="8">
        <v>3</v>
      </c>
      <c r="P144" s="8"/>
      <c r="Q144" s="5">
        <v>0.5</v>
      </c>
      <c r="R144" s="5">
        <v>0.75</v>
      </c>
      <c r="T144" s="8"/>
      <c r="U144" s="8"/>
    </row>
    <row r="145" spans="1:21">
      <c r="A145" t="s">
        <v>8</v>
      </c>
      <c r="B145" t="s">
        <v>9</v>
      </c>
      <c r="C145" s="8">
        <v>3</v>
      </c>
      <c r="D145" s="5">
        <v>0.66666666666666696</v>
      </c>
      <c r="E145" s="9"/>
      <c r="M145" s="8">
        <v>3</v>
      </c>
      <c r="N145" s="8">
        <v>3</v>
      </c>
      <c r="P145" s="8"/>
      <c r="Q145" s="5">
        <v>0.66666666666666696</v>
      </c>
      <c r="R145" s="5">
        <v>0.75</v>
      </c>
      <c r="T145" s="8"/>
      <c r="U145" s="8"/>
    </row>
    <row r="146" spans="1:21">
      <c r="A146" t="s">
        <v>23</v>
      </c>
      <c r="B146" t="s">
        <v>9</v>
      </c>
      <c r="C146" s="8">
        <v>3</v>
      </c>
      <c r="D146" s="5">
        <v>0.5</v>
      </c>
      <c r="E146" s="9"/>
      <c r="M146" s="8">
        <v>3</v>
      </c>
      <c r="N146" s="8">
        <v>3</v>
      </c>
      <c r="P146" s="8"/>
      <c r="Q146" s="5">
        <v>0.5</v>
      </c>
      <c r="R146" s="5">
        <v>0.8</v>
      </c>
      <c r="T146" s="8"/>
      <c r="U146" s="8"/>
    </row>
    <row r="147" spans="1:21">
      <c r="A147" t="s">
        <v>8</v>
      </c>
      <c r="B147" t="s">
        <v>9</v>
      </c>
      <c r="C147" s="8">
        <v>3</v>
      </c>
      <c r="D147" s="5">
        <v>0.66666666666666696</v>
      </c>
      <c r="E147" s="9"/>
      <c r="M147" s="8">
        <v>3</v>
      </c>
      <c r="N147" s="8">
        <v>3</v>
      </c>
      <c r="P147" s="8"/>
      <c r="Q147" s="5">
        <v>0.66666666666666696</v>
      </c>
      <c r="R147" s="5">
        <v>0.8</v>
      </c>
      <c r="T147" s="8"/>
      <c r="U147" s="8"/>
    </row>
    <row r="148" spans="1:21">
      <c r="A148" t="s">
        <v>14</v>
      </c>
      <c r="B148" t="s">
        <v>9</v>
      </c>
      <c r="C148" s="8">
        <v>1.5</v>
      </c>
      <c r="D148" s="5">
        <v>0.66666666666666696</v>
      </c>
      <c r="E148" s="9"/>
      <c r="M148" s="8">
        <v>1.5</v>
      </c>
      <c r="N148" s="8">
        <v>3</v>
      </c>
      <c r="P148" s="8"/>
      <c r="Q148" s="5">
        <v>0.66666666666666696</v>
      </c>
      <c r="R148" s="5">
        <v>0.8</v>
      </c>
      <c r="T148" s="8"/>
      <c r="U148" s="8"/>
    </row>
    <row r="149" spans="1:21">
      <c r="A149" t="s">
        <v>23</v>
      </c>
      <c r="B149" t="s">
        <v>9</v>
      </c>
      <c r="C149" s="8">
        <v>3</v>
      </c>
      <c r="D149" s="5">
        <v>0.5</v>
      </c>
      <c r="E149" s="9"/>
      <c r="M149" s="8">
        <v>3</v>
      </c>
      <c r="N149" s="8">
        <v>3</v>
      </c>
      <c r="P149" s="8"/>
      <c r="Q149" s="5">
        <v>0.5</v>
      </c>
      <c r="R149" s="5">
        <v>0.8</v>
      </c>
      <c r="T149" s="8"/>
      <c r="U149" s="8"/>
    </row>
    <row r="150" spans="1:21">
      <c r="A150" t="s">
        <v>32</v>
      </c>
      <c r="B150" t="s">
        <v>22</v>
      </c>
      <c r="C150" s="8">
        <v>3</v>
      </c>
      <c r="D150" s="5">
        <v>0.83333333333333304</v>
      </c>
      <c r="E150" s="9"/>
      <c r="M150" s="8">
        <v>3</v>
      </c>
      <c r="N150" s="8">
        <v>3</v>
      </c>
      <c r="P150" s="8"/>
      <c r="Q150" s="5">
        <v>0.83333333333333304</v>
      </c>
      <c r="R150" s="5">
        <v>0.8</v>
      </c>
      <c r="T150" s="8"/>
      <c r="U150" s="8"/>
    </row>
    <row r="151" spans="1:21">
      <c r="A151" t="s">
        <v>10</v>
      </c>
      <c r="B151" t="s">
        <v>9</v>
      </c>
      <c r="C151" s="8">
        <v>5</v>
      </c>
      <c r="D151" s="5">
        <v>0.8</v>
      </c>
      <c r="E151" s="9"/>
      <c r="M151" s="8">
        <v>5</v>
      </c>
      <c r="N151" s="8">
        <v>3</v>
      </c>
      <c r="P151" s="8"/>
      <c r="Q151" s="5">
        <v>0.8</v>
      </c>
      <c r="R151" s="5">
        <v>0.8</v>
      </c>
      <c r="T151" s="8"/>
      <c r="U151" s="8"/>
    </row>
    <row r="152" spans="1:21">
      <c r="A152" t="s">
        <v>10</v>
      </c>
      <c r="B152" t="s">
        <v>9</v>
      </c>
      <c r="C152" s="8">
        <v>5</v>
      </c>
      <c r="D152" s="5">
        <v>0.8</v>
      </c>
      <c r="E152" s="9"/>
      <c r="M152" s="8">
        <v>5</v>
      </c>
      <c r="N152" s="8">
        <v>3</v>
      </c>
      <c r="P152" s="8"/>
      <c r="Q152" s="5">
        <v>0.8</v>
      </c>
      <c r="R152" s="5">
        <v>0.8</v>
      </c>
      <c r="T152" s="8"/>
      <c r="U152" s="8"/>
    </row>
    <row r="153" spans="1:21">
      <c r="A153" t="s">
        <v>13</v>
      </c>
      <c r="B153" t="s">
        <v>7</v>
      </c>
      <c r="C153" s="8">
        <v>3</v>
      </c>
      <c r="D153" s="5">
        <v>0.83333333333333304</v>
      </c>
      <c r="E153" s="9"/>
      <c r="M153" s="8">
        <v>3</v>
      </c>
      <c r="N153" s="8">
        <v>3</v>
      </c>
      <c r="P153" s="8"/>
      <c r="Q153" s="5">
        <v>0.83333333333333304</v>
      </c>
      <c r="R153" s="5">
        <v>0.8</v>
      </c>
      <c r="T153" s="8"/>
      <c r="U153" s="8"/>
    </row>
    <row r="154" spans="1:21">
      <c r="A154" t="s">
        <v>8</v>
      </c>
      <c r="B154" t="s">
        <v>9</v>
      </c>
      <c r="C154" s="8">
        <v>3</v>
      </c>
      <c r="D154" s="5">
        <v>0.66666666666666696</v>
      </c>
      <c r="E154" s="9"/>
      <c r="M154" s="8">
        <v>3</v>
      </c>
      <c r="N154" s="8">
        <v>3</v>
      </c>
      <c r="P154" s="8"/>
      <c r="Q154" s="5">
        <v>0.66666666666666696</v>
      </c>
      <c r="R154" s="5">
        <v>0.8</v>
      </c>
      <c r="T154" s="8"/>
      <c r="U154" s="8"/>
    </row>
    <row r="155" spans="1:21">
      <c r="A155" t="s">
        <v>12</v>
      </c>
      <c r="B155" t="s">
        <v>9</v>
      </c>
      <c r="C155" s="8">
        <v>2</v>
      </c>
      <c r="D155" s="5">
        <v>0.25</v>
      </c>
      <c r="E155" s="9"/>
      <c r="M155" s="8">
        <v>2</v>
      </c>
      <c r="N155" s="8">
        <v>3</v>
      </c>
      <c r="P155" s="8"/>
      <c r="Q155" s="5">
        <v>0.25</v>
      </c>
      <c r="R155" s="5">
        <v>0.8</v>
      </c>
      <c r="T155" s="8"/>
      <c r="U155" s="8"/>
    </row>
    <row r="156" spans="1:21">
      <c r="A156" t="s">
        <v>32</v>
      </c>
      <c r="B156" t="s">
        <v>22</v>
      </c>
      <c r="C156" s="8">
        <v>3</v>
      </c>
      <c r="D156" s="5">
        <v>0.83333333333333304</v>
      </c>
      <c r="E156" s="9"/>
      <c r="M156" s="8">
        <v>3</v>
      </c>
      <c r="N156" s="8">
        <v>3</v>
      </c>
      <c r="P156" s="8"/>
      <c r="Q156" s="5">
        <v>0.83333333333333304</v>
      </c>
      <c r="R156" s="5">
        <v>0.8</v>
      </c>
      <c r="T156" s="8"/>
      <c r="U156" s="8"/>
    </row>
    <row r="157" spans="1:21">
      <c r="A157" t="s">
        <v>33</v>
      </c>
      <c r="B157" t="s">
        <v>9</v>
      </c>
      <c r="C157" s="8">
        <v>2</v>
      </c>
      <c r="D157" s="5">
        <v>0.25</v>
      </c>
      <c r="E157" s="9"/>
      <c r="M157" s="8">
        <v>2</v>
      </c>
      <c r="N157" s="10">
        <v>3</v>
      </c>
      <c r="P157" s="8"/>
      <c r="Q157" s="5">
        <v>0.25</v>
      </c>
      <c r="R157" s="5">
        <v>0.8</v>
      </c>
      <c r="T157" s="8"/>
      <c r="U157" s="8"/>
    </row>
    <row r="158" spans="1:21">
      <c r="A158" t="s">
        <v>10</v>
      </c>
      <c r="B158" t="s">
        <v>9</v>
      </c>
      <c r="C158" s="8">
        <v>5</v>
      </c>
      <c r="D158" s="5">
        <v>0.8</v>
      </c>
      <c r="E158" s="9"/>
      <c r="M158" s="8">
        <v>5</v>
      </c>
      <c r="N158" s="8">
        <v>3</v>
      </c>
      <c r="P158" s="8"/>
      <c r="Q158" s="5">
        <v>0.8</v>
      </c>
      <c r="R158" s="5">
        <v>0.8</v>
      </c>
      <c r="T158" s="8"/>
      <c r="U158" s="8"/>
    </row>
    <row r="159" spans="1:21">
      <c r="A159" t="s">
        <v>17</v>
      </c>
      <c r="B159" t="s">
        <v>7</v>
      </c>
      <c r="C159" s="8">
        <v>2.5</v>
      </c>
      <c r="D159" s="5">
        <v>0.8</v>
      </c>
      <c r="E159" s="9"/>
      <c r="M159" s="8">
        <v>2.5</v>
      </c>
      <c r="N159" s="8">
        <v>3</v>
      </c>
      <c r="P159" s="8"/>
      <c r="Q159" s="5">
        <v>0.8</v>
      </c>
      <c r="R159" s="5">
        <v>0.8</v>
      </c>
      <c r="T159" s="8"/>
      <c r="U159" s="8"/>
    </row>
    <row r="160" spans="1:21">
      <c r="A160" t="s">
        <v>23</v>
      </c>
      <c r="B160" t="s">
        <v>9</v>
      </c>
      <c r="C160" s="8">
        <v>3</v>
      </c>
      <c r="D160" s="5">
        <v>0.5</v>
      </c>
      <c r="E160" s="9"/>
      <c r="M160" s="8">
        <v>3</v>
      </c>
      <c r="N160" s="8">
        <v>3</v>
      </c>
      <c r="P160" s="8"/>
      <c r="Q160" s="5">
        <v>0.5</v>
      </c>
      <c r="R160" s="5">
        <v>0.8</v>
      </c>
      <c r="T160" s="8"/>
      <c r="U160" s="8"/>
    </row>
    <row r="161" spans="1:21">
      <c r="A161" t="s">
        <v>26</v>
      </c>
      <c r="B161" t="s">
        <v>19</v>
      </c>
      <c r="C161" s="8">
        <v>2</v>
      </c>
      <c r="D161" s="5">
        <v>0.5</v>
      </c>
      <c r="E161" s="9"/>
      <c r="M161" s="8">
        <v>2</v>
      </c>
      <c r="N161" s="8">
        <v>3</v>
      </c>
      <c r="P161" s="8"/>
      <c r="Q161" s="5">
        <v>0.5</v>
      </c>
      <c r="R161" s="5">
        <v>0.8</v>
      </c>
      <c r="T161" s="8"/>
      <c r="U161" s="8"/>
    </row>
    <row r="162" spans="1:21">
      <c r="A162" t="s">
        <v>23</v>
      </c>
      <c r="B162" t="s">
        <v>9</v>
      </c>
      <c r="C162" s="8">
        <v>3</v>
      </c>
      <c r="D162" s="5">
        <v>0.5</v>
      </c>
      <c r="E162" s="9"/>
      <c r="M162" s="8">
        <v>3</v>
      </c>
      <c r="N162" s="5">
        <v>3</v>
      </c>
      <c r="P162" s="8"/>
      <c r="Q162" s="5">
        <v>0.5</v>
      </c>
      <c r="R162" s="5">
        <v>0.8</v>
      </c>
      <c r="T162" s="8"/>
      <c r="U162" s="8"/>
    </row>
    <row r="163" spans="1:21">
      <c r="A163" t="s">
        <v>27</v>
      </c>
      <c r="B163" t="s">
        <v>19</v>
      </c>
      <c r="C163" s="8">
        <v>2</v>
      </c>
      <c r="D163" s="5">
        <v>0.5</v>
      </c>
      <c r="E163" s="9"/>
      <c r="M163" s="8">
        <v>2</v>
      </c>
      <c r="N163" s="5">
        <v>3</v>
      </c>
      <c r="P163" s="8"/>
      <c r="Q163" s="5">
        <v>0.5</v>
      </c>
      <c r="R163" s="5">
        <v>0.8</v>
      </c>
      <c r="T163" s="8"/>
      <c r="U163" s="8"/>
    </row>
    <row r="164" spans="1:21">
      <c r="A164" t="s">
        <v>32</v>
      </c>
      <c r="B164" t="s">
        <v>22</v>
      </c>
      <c r="C164" s="8">
        <v>3</v>
      </c>
      <c r="D164" s="5">
        <v>0.83333333333333304</v>
      </c>
      <c r="E164" s="9"/>
      <c r="M164" s="8">
        <v>3</v>
      </c>
      <c r="N164" s="8">
        <v>3</v>
      </c>
      <c r="P164" s="8"/>
      <c r="Q164" s="5">
        <v>0.83333333333333304</v>
      </c>
      <c r="R164" s="5">
        <v>0.8</v>
      </c>
      <c r="T164" s="8"/>
      <c r="U164" s="8"/>
    </row>
    <row r="165" spans="1:21">
      <c r="A165" t="s">
        <v>10</v>
      </c>
      <c r="B165" t="s">
        <v>9</v>
      </c>
      <c r="C165" s="8">
        <v>5</v>
      </c>
      <c r="D165" s="5">
        <v>0.8</v>
      </c>
      <c r="E165" s="9"/>
      <c r="M165" s="8">
        <v>5</v>
      </c>
      <c r="N165" s="8">
        <v>4</v>
      </c>
      <c r="P165" s="8"/>
      <c r="Q165" s="5">
        <v>0.8</v>
      </c>
      <c r="R165" s="5">
        <v>0.8</v>
      </c>
      <c r="T165" s="8"/>
      <c r="U165" s="8"/>
    </row>
    <row r="166" spans="1:21">
      <c r="A166" t="s">
        <v>32</v>
      </c>
      <c r="B166" t="s">
        <v>22</v>
      </c>
      <c r="C166" s="8">
        <v>3</v>
      </c>
      <c r="D166" s="5">
        <v>0.83333333333333304</v>
      </c>
      <c r="E166" s="9"/>
      <c r="M166" s="8">
        <v>3</v>
      </c>
      <c r="N166" s="8">
        <v>4</v>
      </c>
      <c r="P166" s="8"/>
      <c r="Q166" s="5">
        <v>0.83333333333333304</v>
      </c>
      <c r="R166" s="5">
        <v>0.8</v>
      </c>
      <c r="T166" s="8"/>
      <c r="U166" s="8"/>
    </row>
    <row r="167" spans="1:21">
      <c r="A167" t="s">
        <v>17</v>
      </c>
      <c r="B167" t="s">
        <v>7</v>
      </c>
      <c r="C167" s="8">
        <v>2.5</v>
      </c>
      <c r="D167" s="5">
        <v>0.8</v>
      </c>
      <c r="E167" s="9"/>
      <c r="M167" s="8">
        <v>2.5</v>
      </c>
      <c r="N167" s="8">
        <v>4</v>
      </c>
      <c r="P167" s="8"/>
      <c r="Q167" s="5">
        <v>0.8</v>
      </c>
      <c r="R167" s="5">
        <v>0.8</v>
      </c>
      <c r="T167" s="8"/>
      <c r="U167" s="8"/>
    </row>
    <row r="168" spans="1:21">
      <c r="A168" t="s">
        <v>18</v>
      </c>
      <c r="B168" t="s">
        <v>19</v>
      </c>
      <c r="C168" s="8">
        <v>2</v>
      </c>
      <c r="D168" s="5">
        <v>0.75</v>
      </c>
      <c r="E168" s="9"/>
      <c r="M168" s="8">
        <v>2</v>
      </c>
      <c r="N168" s="8">
        <v>4</v>
      </c>
      <c r="P168" s="8"/>
      <c r="Q168" s="5">
        <v>0.75</v>
      </c>
      <c r="R168" s="5">
        <v>0.8</v>
      </c>
      <c r="T168" s="8"/>
      <c r="U168" s="8"/>
    </row>
    <row r="169" spans="1:21">
      <c r="A169" t="s">
        <v>32</v>
      </c>
      <c r="B169" t="s">
        <v>22</v>
      </c>
      <c r="C169" s="8">
        <v>3</v>
      </c>
      <c r="D169" s="5">
        <v>0.83333333333333304</v>
      </c>
      <c r="E169" s="9"/>
      <c r="M169" s="8">
        <v>3</v>
      </c>
      <c r="N169" s="8">
        <v>4</v>
      </c>
      <c r="P169" s="8"/>
      <c r="Q169" s="5">
        <v>0.83333333333333304</v>
      </c>
      <c r="R169" s="5">
        <v>0.8</v>
      </c>
      <c r="T169" s="8"/>
      <c r="U169" s="8"/>
    </row>
    <row r="170" spans="1:21">
      <c r="A170" t="s">
        <v>26</v>
      </c>
      <c r="B170" t="s">
        <v>19</v>
      </c>
      <c r="C170" s="8">
        <v>2</v>
      </c>
      <c r="D170" s="5">
        <v>0.5</v>
      </c>
      <c r="E170" s="9"/>
      <c r="M170" s="8">
        <v>2</v>
      </c>
      <c r="N170" s="8">
        <v>4</v>
      </c>
      <c r="P170" s="8"/>
      <c r="Q170" s="5">
        <v>0.5</v>
      </c>
      <c r="R170" s="5">
        <v>0.8</v>
      </c>
      <c r="T170" s="8"/>
      <c r="U170" s="8"/>
    </row>
    <row r="171" spans="1:21">
      <c r="A171" t="s">
        <v>18</v>
      </c>
      <c r="B171" t="s">
        <v>19</v>
      </c>
      <c r="C171" s="8">
        <v>2</v>
      </c>
      <c r="D171" s="5">
        <v>0.75</v>
      </c>
      <c r="E171" s="9"/>
      <c r="M171" s="8">
        <v>2</v>
      </c>
      <c r="N171" s="8">
        <v>4</v>
      </c>
      <c r="P171" s="8"/>
      <c r="Q171" s="5">
        <v>0.75</v>
      </c>
      <c r="R171" s="5">
        <v>0.8</v>
      </c>
      <c r="T171" s="8"/>
      <c r="U171" s="8"/>
    </row>
    <row r="172" spans="1:21">
      <c r="A172" t="s">
        <v>23</v>
      </c>
      <c r="B172" t="s">
        <v>9</v>
      </c>
      <c r="C172" s="8">
        <v>3</v>
      </c>
      <c r="D172" s="5">
        <v>0.5</v>
      </c>
      <c r="E172" s="9"/>
      <c r="M172" s="8">
        <v>3</v>
      </c>
      <c r="N172" s="8">
        <v>4</v>
      </c>
      <c r="P172" s="8"/>
      <c r="Q172" s="5">
        <v>0.5</v>
      </c>
      <c r="R172" s="5">
        <v>0.8</v>
      </c>
      <c r="T172" s="8"/>
      <c r="U172" s="8"/>
    </row>
    <row r="173" spans="1:21">
      <c r="A173" t="s">
        <v>27</v>
      </c>
      <c r="B173" t="s">
        <v>19</v>
      </c>
      <c r="C173" s="8">
        <v>2</v>
      </c>
      <c r="D173" s="5">
        <v>0.5</v>
      </c>
      <c r="E173" s="9"/>
      <c r="M173" s="8">
        <v>2</v>
      </c>
      <c r="N173" s="8">
        <v>4</v>
      </c>
      <c r="P173" s="8"/>
      <c r="Q173" s="5">
        <v>0.5</v>
      </c>
      <c r="R173" s="5">
        <v>0.8</v>
      </c>
      <c r="T173" s="8"/>
      <c r="U173" s="8"/>
    </row>
    <row r="174" spans="1:21">
      <c r="A174" t="s">
        <v>6</v>
      </c>
      <c r="B174" t="s">
        <v>7</v>
      </c>
      <c r="C174" s="8">
        <v>4</v>
      </c>
      <c r="D174" s="5">
        <v>0.5</v>
      </c>
      <c r="E174" s="9"/>
      <c r="M174" s="8">
        <v>4</v>
      </c>
      <c r="N174" s="8">
        <v>4</v>
      </c>
      <c r="P174" s="8"/>
      <c r="Q174" s="5">
        <v>0.5</v>
      </c>
      <c r="R174" s="5">
        <v>0.8</v>
      </c>
      <c r="T174" s="8"/>
      <c r="U174" s="8"/>
    </row>
    <row r="175" spans="1:21">
      <c r="A175" t="s">
        <v>32</v>
      </c>
      <c r="B175" t="s">
        <v>22</v>
      </c>
      <c r="C175" s="8">
        <v>3</v>
      </c>
      <c r="D175" s="5">
        <v>0.83333333333333304</v>
      </c>
      <c r="E175" s="9"/>
      <c r="M175" s="8">
        <v>3</v>
      </c>
      <c r="N175" s="8">
        <v>4</v>
      </c>
      <c r="P175" s="8"/>
      <c r="Q175" s="5">
        <v>0.83333333333333304</v>
      </c>
      <c r="R175" s="5">
        <v>0.83333333333333304</v>
      </c>
      <c r="T175" s="8"/>
      <c r="U175" s="8"/>
    </row>
    <row r="176" spans="1:21">
      <c r="A176" t="s">
        <v>32</v>
      </c>
      <c r="B176" t="s">
        <v>22</v>
      </c>
      <c r="C176" s="8">
        <v>3</v>
      </c>
      <c r="D176" s="5">
        <v>0.83333333333333304</v>
      </c>
      <c r="E176" s="9"/>
      <c r="M176" s="8">
        <v>3</v>
      </c>
      <c r="N176" s="8">
        <v>4</v>
      </c>
      <c r="P176" s="8"/>
      <c r="Q176" s="5">
        <v>0.83333333333333304</v>
      </c>
      <c r="R176" s="5">
        <v>0.83333333333333304</v>
      </c>
      <c r="T176" s="8"/>
      <c r="U176" s="8"/>
    </row>
    <row r="177" spans="1:21">
      <c r="A177" t="s">
        <v>32</v>
      </c>
      <c r="B177" t="s">
        <v>22</v>
      </c>
      <c r="C177" s="8">
        <v>3</v>
      </c>
      <c r="D177" s="5">
        <v>0.83333333333333304</v>
      </c>
      <c r="E177" s="9"/>
      <c r="M177" s="8">
        <v>3</v>
      </c>
      <c r="N177" s="8">
        <v>4</v>
      </c>
      <c r="P177" s="8"/>
      <c r="Q177" s="5">
        <v>0.83333333333333304</v>
      </c>
      <c r="R177" s="5">
        <v>0.83333333333333304</v>
      </c>
      <c r="T177" s="8"/>
      <c r="U177" s="8"/>
    </row>
    <row r="178" spans="1:21">
      <c r="A178" t="s">
        <v>6</v>
      </c>
      <c r="B178" t="s">
        <v>7</v>
      </c>
      <c r="C178" s="10">
        <v>4</v>
      </c>
      <c r="D178" s="5">
        <v>0.5</v>
      </c>
      <c r="E178" s="9"/>
      <c r="M178" s="10">
        <v>4</v>
      </c>
      <c r="N178" s="8">
        <v>4</v>
      </c>
      <c r="P178" s="10"/>
      <c r="Q178" s="5">
        <v>0.5</v>
      </c>
      <c r="R178" s="5">
        <v>0.83333333333333304</v>
      </c>
      <c r="T178" s="10"/>
      <c r="U178" s="10"/>
    </row>
    <row r="179" spans="1:21">
      <c r="A179" t="s">
        <v>32</v>
      </c>
      <c r="B179" t="s">
        <v>22</v>
      </c>
      <c r="C179" s="10">
        <v>3</v>
      </c>
      <c r="D179" s="5">
        <v>0.83333333333333304</v>
      </c>
      <c r="E179" s="9"/>
      <c r="M179" s="10">
        <v>3</v>
      </c>
      <c r="N179" s="8">
        <v>4</v>
      </c>
      <c r="P179" s="10"/>
      <c r="Q179" s="5">
        <v>0.83333333333333304</v>
      </c>
      <c r="R179" s="5">
        <v>0.83333333333333304</v>
      </c>
      <c r="T179" s="10"/>
      <c r="U179" s="10"/>
    </row>
    <row r="180" spans="1:21">
      <c r="A180" t="s">
        <v>26</v>
      </c>
      <c r="B180" t="s">
        <v>19</v>
      </c>
      <c r="C180" s="10">
        <v>2</v>
      </c>
      <c r="D180" s="5">
        <v>0.5</v>
      </c>
      <c r="E180" s="9"/>
      <c r="M180" s="10">
        <v>2</v>
      </c>
      <c r="N180" s="10">
        <v>4</v>
      </c>
      <c r="P180" s="10"/>
      <c r="Q180" s="5">
        <v>0.5</v>
      </c>
      <c r="R180" s="5">
        <v>0.83333333333333304</v>
      </c>
      <c r="T180" s="10"/>
      <c r="U180" s="10"/>
    </row>
    <row r="181" spans="1:21">
      <c r="A181" t="s">
        <v>12</v>
      </c>
      <c r="B181" t="s">
        <v>9</v>
      </c>
      <c r="C181" s="10">
        <v>2</v>
      </c>
      <c r="D181" s="5">
        <v>0.25</v>
      </c>
      <c r="E181" s="9"/>
      <c r="M181" s="10">
        <v>2</v>
      </c>
      <c r="N181" s="10">
        <v>4</v>
      </c>
      <c r="P181" s="10"/>
      <c r="Q181" s="5">
        <v>0.25</v>
      </c>
      <c r="R181" s="5">
        <v>0.83333333333333304</v>
      </c>
      <c r="T181" s="10"/>
      <c r="U181" s="10"/>
    </row>
    <row r="182" spans="1:21">
      <c r="A182" t="s">
        <v>6</v>
      </c>
      <c r="B182" t="s">
        <v>7</v>
      </c>
      <c r="C182" s="10">
        <v>4</v>
      </c>
      <c r="D182" s="5">
        <v>0.5</v>
      </c>
      <c r="E182" s="9"/>
      <c r="M182" s="10">
        <v>4</v>
      </c>
      <c r="N182" s="8">
        <v>4</v>
      </c>
      <c r="P182" s="10"/>
      <c r="Q182" s="5">
        <v>0.5</v>
      </c>
      <c r="R182" s="5">
        <v>0.83333333333333304</v>
      </c>
      <c r="T182" s="10"/>
      <c r="U182" s="10"/>
    </row>
    <row r="183" spans="1:21">
      <c r="A183" t="s">
        <v>10</v>
      </c>
      <c r="B183" t="s">
        <v>9</v>
      </c>
      <c r="C183" s="8">
        <v>5</v>
      </c>
      <c r="D183" s="5">
        <v>0.8</v>
      </c>
      <c r="E183" s="9"/>
      <c r="M183" s="8">
        <v>5</v>
      </c>
      <c r="N183" s="8">
        <v>5</v>
      </c>
      <c r="P183" s="8"/>
      <c r="Q183" s="5">
        <v>0.8</v>
      </c>
      <c r="R183" s="5">
        <v>0.83333333333333304</v>
      </c>
      <c r="T183" s="8"/>
      <c r="U183" s="8"/>
    </row>
    <row r="184" spans="1:21">
      <c r="A184" t="s">
        <v>32</v>
      </c>
      <c r="B184" t="s">
        <v>22</v>
      </c>
      <c r="C184" s="8">
        <v>3</v>
      </c>
      <c r="D184" s="5">
        <v>0.83333333333333304</v>
      </c>
      <c r="E184" s="9"/>
      <c r="M184" s="8">
        <v>3</v>
      </c>
      <c r="N184" s="8">
        <v>5</v>
      </c>
      <c r="P184" s="8"/>
      <c r="Q184" s="5">
        <v>0.83333333333333304</v>
      </c>
      <c r="R184" s="5">
        <v>0.83333333333333304</v>
      </c>
      <c r="T184" s="8"/>
      <c r="U184" s="8"/>
    </row>
    <row r="185" spans="1:21">
      <c r="A185" t="s">
        <v>14</v>
      </c>
      <c r="B185" t="s">
        <v>9</v>
      </c>
      <c r="C185" s="8">
        <v>1.5</v>
      </c>
      <c r="D185" s="5">
        <v>0.66666666666666696</v>
      </c>
      <c r="E185" s="9"/>
      <c r="M185" s="8">
        <v>1.5</v>
      </c>
      <c r="N185" s="8">
        <v>5</v>
      </c>
      <c r="P185" s="8"/>
      <c r="Q185" s="5">
        <v>0.66666666666666696</v>
      </c>
      <c r="R185" s="5">
        <v>0.83333333333333304</v>
      </c>
      <c r="T185" s="8"/>
      <c r="U185" s="8"/>
    </row>
    <row r="186" spans="1:21">
      <c r="A186" t="s">
        <v>17</v>
      </c>
      <c r="B186" t="s">
        <v>7</v>
      </c>
      <c r="C186" s="8">
        <v>2.5</v>
      </c>
      <c r="D186" s="5">
        <v>0.8</v>
      </c>
      <c r="E186" s="9"/>
      <c r="M186" s="8">
        <v>2.5</v>
      </c>
      <c r="N186" s="8">
        <v>5</v>
      </c>
      <c r="P186" s="8"/>
      <c r="Q186" s="5">
        <v>0.8</v>
      </c>
      <c r="R186" s="5">
        <v>0.83333333333333304</v>
      </c>
      <c r="T186" s="8"/>
      <c r="U186" s="8"/>
    </row>
    <row r="187" spans="1:21">
      <c r="A187" t="s">
        <v>27</v>
      </c>
      <c r="B187" t="s">
        <v>19</v>
      </c>
      <c r="C187" s="8">
        <v>2</v>
      </c>
      <c r="D187" s="5">
        <v>0.5</v>
      </c>
      <c r="E187" s="9"/>
      <c r="M187" s="8">
        <v>2</v>
      </c>
      <c r="N187" s="8">
        <v>5</v>
      </c>
      <c r="P187" s="8"/>
      <c r="Q187" s="5">
        <v>0.5</v>
      </c>
      <c r="R187" s="5">
        <v>0.83333333333333304</v>
      </c>
      <c r="T187" s="8"/>
      <c r="U187" s="8"/>
    </row>
    <row r="188" spans="1:21">
      <c r="A188" t="s">
        <v>13</v>
      </c>
      <c r="B188" t="s">
        <v>7</v>
      </c>
      <c r="C188" s="8">
        <v>3</v>
      </c>
      <c r="D188" s="5">
        <v>0.83333333333333304</v>
      </c>
      <c r="E188" s="9"/>
      <c r="M188" s="8">
        <v>3</v>
      </c>
      <c r="N188" s="8">
        <v>5</v>
      </c>
      <c r="P188" s="8"/>
      <c r="Q188" s="5">
        <v>0.83333333333333304</v>
      </c>
      <c r="R188" s="5">
        <v>0.83333333333333304</v>
      </c>
      <c r="T188" s="8"/>
      <c r="U188" s="8"/>
    </row>
    <row r="189" spans="1:21">
      <c r="A189" t="s">
        <v>12</v>
      </c>
      <c r="B189" t="s">
        <v>9</v>
      </c>
      <c r="C189" s="8">
        <v>2</v>
      </c>
      <c r="D189" s="5">
        <v>0.25</v>
      </c>
      <c r="E189" s="9"/>
      <c r="M189" s="8">
        <v>2</v>
      </c>
      <c r="N189" s="8">
        <v>5</v>
      </c>
      <c r="P189" s="8"/>
      <c r="Q189" s="5">
        <v>0.25</v>
      </c>
      <c r="R189" s="5">
        <v>0.83333333333333304</v>
      </c>
      <c r="T189" s="8"/>
      <c r="U189" s="8"/>
    </row>
    <row r="190" spans="1:21">
      <c r="A190" t="s">
        <v>32</v>
      </c>
      <c r="B190" t="s">
        <v>22</v>
      </c>
      <c r="C190" s="8">
        <v>3</v>
      </c>
      <c r="D190" s="5">
        <v>0.83333333333333304</v>
      </c>
      <c r="E190" s="9"/>
      <c r="M190" s="8">
        <v>3</v>
      </c>
      <c r="N190" s="8">
        <v>5</v>
      </c>
      <c r="P190" s="8"/>
      <c r="Q190" s="5">
        <v>0.83333333333333304</v>
      </c>
      <c r="R190" s="5">
        <v>0.83333333333333304</v>
      </c>
      <c r="T190" s="8"/>
      <c r="U190" s="8"/>
    </row>
    <row r="191" spans="1:21">
      <c r="A191" t="s">
        <v>26</v>
      </c>
      <c r="B191" t="s">
        <v>19</v>
      </c>
      <c r="C191" s="8">
        <v>2</v>
      </c>
      <c r="D191" s="5">
        <v>0.5</v>
      </c>
      <c r="E191" s="9"/>
      <c r="M191" s="8">
        <v>2</v>
      </c>
      <c r="N191" s="8">
        <v>5</v>
      </c>
      <c r="P191" s="8"/>
      <c r="Q191" s="5">
        <v>0.5</v>
      </c>
      <c r="R191" s="5">
        <v>0.83333333333333304</v>
      </c>
      <c r="T191" s="8"/>
      <c r="U191" s="8"/>
    </row>
    <row r="192" spans="1:21">
      <c r="A192" t="s">
        <v>12</v>
      </c>
      <c r="B192" t="s">
        <v>9</v>
      </c>
      <c r="C192" s="8">
        <v>2</v>
      </c>
      <c r="D192" s="5">
        <v>0.25</v>
      </c>
      <c r="E192" s="9"/>
      <c r="M192" s="8">
        <v>2</v>
      </c>
      <c r="N192" s="8">
        <v>5</v>
      </c>
      <c r="P192" s="8"/>
      <c r="Q192" s="5">
        <v>0.25</v>
      </c>
      <c r="R192" s="5">
        <v>0.83333333333333304</v>
      </c>
      <c r="T192" s="8"/>
      <c r="U192" s="8"/>
    </row>
    <row r="193" spans="1:21">
      <c r="A193" t="s">
        <v>13</v>
      </c>
      <c r="B193" t="s">
        <v>7</v>
      </c>
      <c r="C193" s="8">
        <v>3</v>
      </c>
      <c r="D193" s="5">
        <v>0.83333333333333304</v>
      </c>
      <c r="E193" s="9"/>
      <c r="M193" s="8">
        <v>3</v>
      </c>
      <c r="N193" s="8">
        <v>5</v>
      </c>
      <c r="P193" s="8"/>
      <c r="Q193" s="5">
        <v>0.83333333333333304</v>
      </c>
      <c r="R193" s="5">
        <v>0.83333333333333304</v>
      </c>
      <c r="T193" s="8"/>
      <c r="U193" s="8"/>
    </row>
    <row r="194" spans="1:21">
      <c r="A194" t="s">
        <v>10</v>
      </c>
      <c r="B194" t="s">
        <v>9</v>
      </c>
      <c r="C194" s="8">
        <v>5</v>
      </c>
      <c r="D194" s="5">
        <v>0.8</v>
      </c>
      <c r="E194" s="9"/>
      <c r="M194" s="8">
        <v>5</v>
      </c>
      <c r="N194" s="8">
        <v>5</v>
      </c>
      <c r="P194" s="8"/>
      <c r="Q194" s="5">
        <v>0.8</v>
      </c>
      <c r="R194" s="5">
        <v>0.83333333333333304</v>
      </c>
      <c r="T194" s="8"/>
      <c r="U194" s="8"/>
    </row>
    <row r="195" spans="1:21">
      <c r="A195" t="s">
        <v>6</v>
      </c>
      <c r="B195" t="s">
        <v>7</v>
      </c>
      <c r="C195" s="8">
        <v>4</v>
      </c>
      <c r="D195" s="5">
        <v>0.5</v>
      </c>
      <c r="E195" s="9"/>
      <c r="M195" s="8">
        <v>4</v>
      </c>
      <c r="N195" s="8">
        <v>5</v>
      </c>
      <c r="P195" s="8"/>
      <c r="Q195" s="5">
        <v>0.5</v>
      </c>
      <c r="R195" s="5">
        <v>0.83333333333333304</v>
      </c>
      <c r="T195" s="8"/>
      <c r="U195" s="8"/>
    </row>
    <row r="196" spans="1:21">
      <c r="A196" t="s">
        <v>12</v>
      </c>
      <c r="B196" t="s">
        <v>9</v>
      </c>
      <c r="C196" s="8">
        <v>2</v>
      </c>
      <c r="D196" s="5">
        <v>0.25</v>
      </c>
      <c r="E196" s="9"/>
      <c r="M196" s="8">
        <v>2</v>
      </c>
      <c r="N196" s="8">
        <v>5</v>
      </c>
      <c r="P196" s="8"/>
      <c r="Q196" s="5">
        <v>0.25</v>
      </c>
      <c r="R196" s="5">
        <v>0.83333333333333304</v>
      </c>
      <c r="T196" s="8"/>
      <c r="U196" s="8"/>
    </row>
    <row r="197" spans="1:21">
      <c r="A197" t="s">
        <v>32</v>
      </c>
      <c r="B197" t="s">
        <v>22</v>
      </c>
      <c r="C197" s="5">
        <v>3</v>
      </c>
      <c r="D197" s="5">
        <v>0.83333333333333304</v>
      </c>
      <c r="E197" s="9"/>
      <c r="M197" s="5">
        <v>3</v>
      </c>
      <c r="N197" s="8">
        <v>5</v>
      </c>
      <c r="P197" s="5"/>
      <c r="Q197" s="5">
        <v>0.83333333333333304</v>
      </c>
      <c r="R197" s="5">
        <v>0.83333333333333304</v>
      </c>
      <c r="T197" s="5"/>
      <c r="U197" s="5"/>
    </row>
    <row r="198" spans="1:21">
      <c r="A198" t="s">
        <v>18</v>
      </c>
      <c r="B198" t="s">
        <v>19</v>
      </c>
      <c r="C198" s="5">
        <v>2</v>
      </c>
      <c r="D198" s="5">
        <v>0.75</v>
      </c>
      <c r="E198" s="9"/>
      <c r="M198" s="5">
        <v>2</v>
      </c>
      <c r="N198" s="8">
        <v>5</v>
      </c>
      <c r="P198" s="5"/>
      <c r="Q198" s="5">
        <v>0.75</v>
      </c>
      <c r="R198" s="5">
        <v>0.83333333333333304</v>
      </c>
      <c r="T198" s="5"/>
      <c r="U198" s="5"/>
    </row>
    <row r="199" spans="1:21">
      <c r="A199" t="s">
        <v>13</v>
      </c>
      <c r="B199" t="s">
        <v>7</v>
      </c>
      <c r="C199" s="5">
        <v>3</v>
      </c>
      <c r="D199" s="5">
        <v>0.83333333333333304</v>
      </c>
      <c r="E199" s="9"/>
      <c r="M199" s="5">
        <v>3</v>
      </c>
      <c r="N199" s="8">
        <v>20</v>
      </c>
      <c r="P199" s="5"/>
      <c r="Q199" s="5">
        <v>0.83333333333333304</v>
      </c>
      <c r="R199" s="5">
        <v>0.83333333333333304</v>
      </c>
      <c r="T199" s="5"/>
      <c r="U199" s="5"/>
    </row>
    <row r="200" spans="1:21">
      <c r="A200" t="s">
        <v>34</v>
      </c>
      <c r="B200" t="s">
        <v>22</v>
      </c>
      <c r="C200" s="8">
        <v>3</v>
      </c>
      <c r="D200" s="5">
        <v>0.83333333333333304</v>
      </c>
      <c r="E200" s="9"/>
      <c r="M200" s="8">
        <v>3</v>
      </c>
      <c r="N200" s="8">
        <v>25</v>
      </c>
      <c r="P200" s="8"/>
      <c r="Q200" s="5">
        <v>0.83333333333333304</v>
      </c>
      <c r="R200" s="5">
        <v>0.83333333333333304</v>
      </c>
      <c r="T200" s="8"/>
      <c r="U200" s="8"/>
    </row>
    <row r="201" spans="1:21">
      <c r="C201" s="9"/>
      <c r="M201" s="9"/>
      <c r="N201" s="9"/>
      <c r="P201" s="9"/>
      <c r="R201" s="9"/>
      <c r="S201" s="9"/>
      <c r="T201" s="9"/>
      <c r="U201" s="9"/>
    </row>
  </sheetData>
  <sortState xmlns:xlrd2="http://schemas.microsoft.com/office/spreadsheetml/2017/richdata2" ref="R2:R201">
    <sortCondition ref="R2:R201"/>
  </sortState>
  <conditionalFormatting sqref="E1:E1048576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C70BA-4F87-4752-A44B-F25D05A7086D}">
  <dimension ref="A1:O192"/>
  <sheetViews>
    <sheetView workbookViewId="0">
      <selection activeCell="A11" sqref="A11"/>
    </sheetView>
  </sheetViews>
  <sheetFormatPr defaultRowHeight="15.5"/>
  <cols>
    <col min="1" max="1" width="20.33203125" bestFit="1" customWidth="1"/>
    <col min="5" max="5" width="10.9140625" bestFit="1" customWidth="1"/>
    <col min="8" max="8" width="24" bestFit="1" customWidth="1"/>
    <col min="9" max="9" width="12" bestFit="1" customWidth="1"/>
    <col min="10" max="10" width="10.83203125" bestFit="1" customWidth="1"/>
    <col min="11" max="11" width="17.1640625" bestFit="1" customWidth="1"/>
    <col min="12" max="12" width="6.4140625" bestFit="1" customWidth="1"/>
    <col min="13" max="13" width="24" bestFit="1" customWidth="1"/>
    <col min="14" max="14" width="12" bestFit="1" customWidth="1"/>
    <col min="15" max="15" width="13.5" bestFit="1" customWidth="1"/>
    <col min="16" max="17" width="6.4140625" bestFit="1" customWidth="1"/>
    <col min="18" max="19" width="7.4140625" bestFit="1" customWidth="1"/>
    <col min="20" max="20" width="11.6640625" bestFit="1" customWidth="1"/>
    <col min="21" max="21" width="6.4140625" bestFit="1" customWidth="1"/>
    <col min="22" max="22" width="11.9140625" bestFit="1" customWidth="1"/>
    <col min="23" max="23" width="6.4140625" bestFit="1" customWidth="1"/>
    <col min="24" max="24" width="11.9140625" bestFit="1" customWidth="1"/>
    <col min="25" max="25" width="6.4140625" bestFit="1" customWidth="1"/>
    <col min="26" max="26" width="11.9140625" bestFit="1" customWidth="1"/>
    <col min="27" max="27" width="7.4140625" bestFit="1" customWidth="1"/>
    <col min="28" max="28" width="13" bestFit="1" customWidth="1"/>
    <col min="29" max="29" width="7.4140625" bestFit="1" customWidth="1"/>
    <col min="30" max="30" width="13" bestFit="1" customWidth="1"/>
    <col min="31" max="31" width="11.6640625" bestFit="1" customWidth="1"/>
  </cols>
  <sheetData>
    <row r="1" spans="1:15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H1" s="17" t="s">
        <v>73</v>
      </c>
      <c r="M1" s="40" t="s">
        <v>75</v>
      </c>
    </row>
    <row r="2" spans="1:15">
      <c r="A2" t="s">
        <v>6</v>
      </c>
      <c r="B2" t="s">
        <v>7</v>
      </c>
      <c r="C2" s="8">
        <v>4</v>
      </c>
      <c r="D2" s="5">
        <v>0.5</v>
      </c>
      <c r="E2" s="9">
        <f>C2*D2</f>
        <v>2</v>
      </c>
      <c r="F2">
        <f>VLOOKUP(A2,Calories!$A$1:$B$15,2,FALSE)</f>
        <v>200</v>
      </c>
      <c r="H2" s="11" t="s">
        <v>40</v>
      </c>
      <c r="I2" t="s">
        <v>59</v>
      </c>
      <c r="J2" t="s">
        <v>41</v>
      </c>
      <c r="K2" t="s">
        <v>72</v>
      </c>
      <c r="M2" s="11" t="s">
        <v>40</v>
      </c>
      <c r="N2" t="s">
        <v>59</v>
      </c>
      <c r="O2" t="s">
        <v>74</v>
      </c>
    </row>
    <row r="3" spans="1:15">
      <c r="A3" t="s">
        <v>8</v>
      </c>
      <c r="B3" t="s">
        <v>9</v>
      </c>
      <c r="C3" s="8">
        <v>3</v>
      </c>
      <c r="D3" s="5">
        <v>0.66666666666666696</v>
      </c>
      <c r="E3" s="9">
        <f t="shared" ref="E3:E66" si="0">C3*D3</f>
        <v>2.0000000000000009</v>
      </c>
      <c r="F3">
        <f>VLOOKUP(A3,Calories!$A$1:$B$15,2,FALSE)</f>
        <v>320</v>
      </c>
      <c r="H3" s="12" t="s">
        <v>7</v>
      </c>
      <c r="I3" s="13">
        <v>43</v>
      </c>
      <c r="J3" s="13">
        <v>160</v>
      </c>
      <c r="K3" s="13">
        <v>108.5</v>
      </c>
      <c r="M3" s="12" t="s">
        <v>7</v>
      </c>
      <c r="N3" s="13">
        <v>43</v>
      </c>
      <c r="O3" s="13">
        <v>5160</v>
      </c>
    </row>
    <row r="4" spans="1:15">
      <c r="A4" t="s">
        <v>10</v>
      </c>
      <c r="B4" t="s">
        <v>9</v>
      </c>
      <c r="C4" s="8">
        <v>5</v>
      </c>
      <c r="D4" s="5">
        <v>0.8</v>
      </c>
      <c r="E4" s="9">
        <f t="shared" si="0"/>
        <v>4</v>
      </c>
      <c r="F4">
        <f>VLOOKUP(A4,Calories!$A$1:$B$15,2,FALSE)</f>
        <v>500</v>
      </c>
      <c r="H4" s="14" t="s">
        <v>6</v>
      </c>
      <c r="I4" s="13">
        <v>18</v>
      </c>
      <c r="J4" s="13">
        <v>69</v>
      </c>
      <c r="K4" s="13">
        <v>34.5</v>
      </c>
      <c r="M4" s="14" t="s">
        <v>6</v>
      </c>
      <c r="N4" s="13">
        <v>18</v>
      </c>
      <c r="O4" s="13">
        <v>3600</v>
      </c>
    </row>
    <row r="5" spans="1:15">
      <c r="A5" t="s">
        <v>12</v>
      </c>
      <c r="B5" t="s">
        <v>9</v>
      </c>
      <c r="C5" s="8">
        <v>2</v>
      </c>
      <c r="D5" s="5">
        <v>0.25</v>
      </c>
      <c r="E5" s="9">
        <f t="shared" si="0"/>
        <v>0.5</v>
      </c>
      <c r="F5">
        <f>VLOOKUP(A5,Calories!$A$1:$B$15,2,FALSE)</f>
        <v>480</v>
      </c>
      <c r="H5" s="14" t="s">
        <v>13</v>
      </c>
      <c r="I5" s="13">
        <v>12</v>
      </c>
      <c r="J5" s="13">
        <v>36</v>
      </c>
      <c r="K5" s="13">
        <v>29.999999999999996</v>
      </c>
      <c r="M5" s="14" t="s">
        <v>13</v>
      </c>
      <c r="N5" s="13">
        <v>12</v>
      </c>
      <c r="O5" s="13">
        <v>0</v>
      </c>
    </row>
    <row r="6" spans="1:15">
      <c r="A6" t="s">
        <v>13</v>
      </c>
      <c r="B6" t="s">
        <v>7</v>
      </c>
      <c r="C6" s="8">
        <v>3</v>
      </c>
      <c r="D6" s="5">
        <v>0.83333333333333304</v>
      </c>
      <c r="E6" s="9">
        <f t="shared" si="0"/>
        <v>2.4999999999999991</v>
      </c>
      <c r="F6">
        <f>VLOOKUP(A6,Calories!$A$1:$B$15,2,FALSE)</f>
        <v>0</v>
      </c>
      <c r="H6" s="14" t="s">
        <v>17</v>
      </c>
      <c r="I6" s="13">
        <v>13</v>
      </c>
      <c r="J6" s="13">
        <v>55</v>
      </c>
      <c r="K6" s="13">
        <v>44</v>
      </c>
      <c r="M6" s="14" t="s">
        <v>17</v>
      </c>
      <c r="N6" s="13">
        <v>13</v>
      </c>
      <c r="O6" s="13">
        <v>1560</v>
      </c>
    </row>
    <row r="7" spans="1:15">
      <c r="A7" t="s">
        <v>14</v>
      </c>
      <c r="B7" t="s">
        <v>9</v>
      </c>
      <c r="C7" s="8">
        <v>1.5</v>
      </c>
      <c r="D7" s="5">
        <v>0.66666666666666696</v>
      </c>
      <c r="E7" s="9">
        <f t="shared" si="0"/>
        <v>1.0000000000000004</v>
      </c>
      <c r="F7">
        <f>VLOOKUP(A7,Calories!$A$1:$B$15,2,FALSE)</f>
        <v>265</v>
      </c>
      <c r="H7" s="12" t="s">
        <v>19</v>
      </c>
      <c r="I7" s="13">
        <v>38</v>
      </c>
      <c r="J7" s="13">
        <v>94</v>
      </c>
      <c r="K7" s="13">
        <v>53</v>
      </c>
      <c r="M7" s="12" t="s">
        <v>19</v>
      </c>
      <c r="N7" s="13">
        <v>38</v>
      </c>
      <c r="O7" s="13">
        <v>10600</v>
      </c>
    </row>
    <row r="8" spans="1:15">
      <c r="A8" t="s">
        <v>15</v>
      </c>
      <c r="B8" s="16" t="s">
        <v>22</v>
      </c>
      <c r="C8" s="8">
        <v>3</v>
      </c>
      <c r="D8" s="5">
        <v>0.5</v>
      </c>
      <c r="E8" s="9">
        <f t="shared" si="0"/>
        <v>1.5</v>
      </c>
      <c r="F8">
        <f>VLOOKUP(A8,Calories!$A$1:$B$15,2,FALSE)</f>
        <v>300</v>
      </c>
      <c r="H8" s="14" t="s">
        <v>18</v>
      </c>
      <c r="I8" s="13">
        <v>12</v>
      </c>
      <c r="J8" s="13">
        <v>24</v>
      </c>
      <c r="K8" s="13">
        <v>18</v>
      </c>
      <c r="M8" s="14" t="s">
        <v>18</v>
      </c>
      <c r="N8" s="13">
        <v>12</v>
      </c>
      <c r="O8" s="13">
        <v>3060</v>
      </c>
    </row>
    <row r="9" spans="1:15">
      <c r="A9" t="s">
        <v>17</v>
      </c>
      <c r="B9" t="s">
        <v>7</v>
      </c>
      <c r="C9" s="8">
        <v>2.5</v>
      </c>
      <c r="D9" s="5">
        <v>0.8</v>
      </c>
      <c r="E9" s="9">
        <f t="shared" si="0"/>
        <v>2</v>
      </c>
      <c r="F9">
        <f>VLOOKUP(A9,Calories!$A$1:$B$15,2,FALSE)</f>
        <v>120</v>
      </c>
      <c r="H9" s="14" t="s">
        <v>26</v>
      </c>
      <c r="I9" s="13">
        <v>13</v>
      </c>
      <c r="J9" s="13">
        <v>26</v>
      </c>
      <c r="K9" s="13">
        <v>13</v>
      </c>
      <c r="M9" s="14" t="s">
        <v>26</v>
      </c>
      <c r="N9" s="13">
        <v>13</v>
      </c>
      <c r="O9" s="13">
        <v>3900</v>
      </c>
    </row>
    <row r="10" spans="1:15">
      <c r="A10" t="s">
        <v>18</v>
      </c>
      <c r="B10" t="s">
        <v>19</v>
      </c>
      <c r="C10" s="8">
        <v>2</v>
      </c>
      <c r="D10" s="5">
        <v>0.75</v>
      </c>
      <c r="E10" s="9">
        <f t="shared" si="0"/>
        <v>1.5</v>
      </c>
      <c r="F10">
        <f>VLOOKUP(A10,Calories!$A$1:$B$15,2,FALSE)</f>
        <v>255</v>
      </c>
      <c r="H10" s="14" t="s">
        <v>70</v>
      </c>
      <c r="I10" s="13">
        <v>13</v>
      </c>
      <c r="J10" s="13">
        <v>44</v>
      </c>
      <c r="K10" s="13">
        <v>22</v>
      </c>
      <c r="M10" s="14" t="s">
        <v>70</v>
      </c>
      <c r="N10" s="13">
        <v>13</v>
      </c>
      <c r="O10" s="13">
        <v>3640</v>
      </c>
    </row>
    <row r="11" spans="1:15">
      <c r="A11" t="s">
        <v>8</v>
      </c>
      <c r="B11" t="s">
        <v>9</v>
      </c>
      <c r="C11" s="8">
        <v>3</v>
      </c>
      <c r="D11" s="5">
        <v>0.66666666666666696</v>
      </c>
      <c r="E11" s="9">
        <f t="shared" si="0"/>
        <v>2.0000000000000009</v>
      </c>
      <c r="F11">
        <f>VLOOKUP(A11,Calories!$A$1:$B$15,2,FALSE)</f>
        <v>320</v>
      </c>
      <c r="H11" s="12" t="s">
        <v>22</v>
      </c>
      <c r="I11" s="13">
        <v>32</v>
      </c>
      <c r="J11" s="13">
        <v>96</v>
      </c>
      <c r="K11" s="13">
        <v>64</v>
      </c>
      <c r="M11" s="12" t="s">
        <v>22</v>
      </c>
      <c r="N11" s="13">
        <v>32</v>
      </c>
      <c r="O11" s="13">
        <v>7350</v>
      </c>
    </row>
    <row r="12" spans="1:15">
      <c r="A12" t="s">
        <v>6</v>
      </c>
      <c r="B12" t="s">
        <v>7</v>
      </c>
      <c r="C12" s="8">
        <v>2</v>
      </c>
      <c r="D12" s="5">
        <v>0.5</v>
      </c>
      <c r="E12" s="9">
        <f t="shared" si="0"/>
        <v>1</v>
      </c>
      <c r="F12">
        <f>VLOOKUP(A12,Calories!$A$1:$B$15,2,FALSE)</f>
        <v>200</v>
      </c>
      <c r="H12" s="14" t="s">
        <v>15</v>
      </c>
      <c r="I12" s="13">
        <v>11</v>
      </c>
      <c r="J12" s="13">
        <v>33</v>
      </c>
      <c r="K12" s="13">
        <v>16.5</v>
      </c>
      <c r="M12" s="14" t="s">
        <v>15</v>
      </c>
      <c r="N12" s="13">
        <v>11</v>
      </c>
      <c r="O12" s="13">
        <v>3300</v>
      </c>
    </row>
    <row r="13" spans="1:15">
      <c r="A13" t="s">
        <v>14</v>
      </c>
      <c r="B13" t="s">
        <v>9</v>
      </c>
      <c r="C13" s="8">
        <v>1.5</v>
      </c>
      <c r="D13" s="5">
        <v>0.66666666666666696</v>
      </c>
      <c r="E13" s="9">
        <f t="shared" si="0"/>
        <v>1.0000000000000004</v>
      </c>
      <c r="F13">
        <f>VLOOKUP(A13,Calories!$A$1:$B$15,2,FALSE)</f>
        <v>265</v>
      </c>
      <c r="H13" s="14" t="s">
        <v>29</v>
      </c>
      <c r="I13" s="13">
        <v>10</v>
      </c>
      <c r="J13" s="13">
        <v>30</v>
      </c>
      <c r="K13" s="13">
        <v>20.000000000000004</v>
      </c>
      <c r="M13" s="14" t="s">
        <v>29</v>
      </c>
      <c r="N13" s="13">
        <v>10</v>
      </c>
      <c r="O13" s="13">
        <v>2400</v>
      </c>
    </row>
    <row r="14" spans="1:15">
      <c r="A14" s="16" t="s">
        <v>70</v>
      </c>
      <c r="B14" t="s">
        <v>19</v>
      </c>
      <c r="C14" s="8">
        <v>2</v>
      </c>
      <c r="D14" s="5">
        <v>0.5</v>
      </c>
      <c r="E14" s="9">
        <f t="shared" si="0"/>
        <v>1</v>
      </c>
      <c r="F14">
        <f>VLOOKUP(A14,Calories!$A$1:$B$15,2,FALSE)</f>
        <v>280</v>
      </c>
      <c r="H14" s="14" t="s">
        <v>32</v>
      </c>
      <c r="I14" s="13">
        <v>11</v>
      </c>
      <c r="J14" s="13">
        <v>33</v>
      </c>
      <c r="K14" s="13">
        <v>27.499999999999996</v>
      </c>
      <c r="M14" s="14" t="s">
        <v>32</v>
      </c>
      <c r="N14" s="13">
        <v>11</v>
      </c>
      <c r="O14" s="13">
        <v>1650</v>
      </c>
    </row>
    <row r="15" spans="1:15">
      <c r="A15" t="s">
        <v>15</v>
      </c>
      <c r="B15" t="s">
        <v>22</v>
      </c>
      <c r="C15" s="8">
        <v>3</v>
      </c>
      <c r="D15" s="5">
        <v>0.5</v>
      </c>
      <c r="E15" s="9">
        <f t="shared" si="0"/>
        <v>1.5</v>
      </c>
      <c r="F15">
        <f>VLOOKUP(A15,Calories!$A$1:$B$15,2,FALSE)</f>
        <v>300</v>
      </c>
      <c r="H15" s="12" t="s">
        <v>9</v>
      </c>
      <c r="I15" s="13">
        <v>78</v>
      </c>
      <c r="J15" s="13">
        <v>226.5</v>
      </c>
      <c r="K15" s="13">
        <v>141.25</v>
      </c>
      <c r="M15" s="12" t="s">
        <v>9</v>
      </c>
      <c r="N15" s="13">
        <v>78</v>
      </c>
      <c r="O15" s="13">
        <v>33175</v>
      </c>
    </row>
    <row r="16" spans="1:15">
      <c r="A16" t="s">
        <v>23</v>
      </c>
      <c r="B16" t="s">
        <v>9</v>
      </c>
      <c r="C16" s="8">
        <v>3</v>
      </c>
      <c r="D16" s="5">
        <v>0.5</v>
      </c>
      <c r="E16" s="9">
        <f t="shared" si="0"/>
        <v>1.5</v>
      </c>
      <c r="F16">
        <f>VLOOKUP(A16,Calories!$A$1:$B$15,2,FALSE)</f>
        <v>560</v>
      </c>
      <c r="H16" s="14" t="s">
        <v>8</v>
      </c>
      <c r="I16" s="13">
        <v>16</v>
      </c>
      <c r="J16" s="13">
        <v>48</v>
      </c>
      <c r="K16" s="13">
        <v>32.000000000000007</v>
      </c>
      <c r="M16" s="14" t="s">
        <v>8</v>
      </c>
      <c r="N16" s="13">
        <v>16</v>
      </c>
      <c r="O16" s="13">
        <v>5120</v>
      </c>
    </row>
    <row r="17" spans="1:15">
      <c r="A17" t="s">
        <v>12</v>
      </c>
      <c r="B17" t="s">
        <v>9</v>
      </c>
      <c r="C17" s="8">
        <v>1</v>
      </c>
      <c r="D17" s="5">
        <v>0.25</v>
      </c>
      <c r="E17" s="9">
        <f t="shared" si="0"/>
        <v>0.25</v>
      </c>
      <c r="F17">
        <f>VLOOKUP(A17,Calories!$A$1:$B$15,2,FALSE)</f>
        <v>480</v>
      </c>
      <c r="H17" s="14" t="s">
        <v>14</v>
      </c>
      <c r="I17" s="13">
        <v>15</v>
      </c>
      <c r="J17" s="13">
        <v>22.5</v>
      </c>
      <c r="K17" s="13">
        <v>15.000000000000002</v>
      </c>
      <c r="M17" s="14" t="s">
        <v>14</v>
      </c>
      <c r="N17" s="13">
        <v>15</v>
      </c>
      <c r="O17" s="13">
        <v>3975</v>
      </c>
    </row>
    <row r="18" spans="1:15">
      <c r="A18" t="s">
        <v>6</v>
      </c>
      <c r="B18" t="s">
        <v>7</v>
      </c>
      <c r="C18" s="8">
        <v>4</v>
      </c>
      <c r="D18" s="5">
        <v>0.5</v>
      </c>
      <c r="E18" s="9">
        <f t="shared" si="0"/>
        <v>2</v>
      </c>
      <c r="F18">
        <f>VLOOKUP(A18,Calories!$A$1:$B$15,2,FALSE)</f>
        <v>200</v>
      </c>
      <c r="H18" s="14" t="s">
        <v>23</v>
      </c>
      <c r="I18" s="13">
        <v>15</v>
      </c>
      <c r="J18" s="13">
        <v>45</v>
      </c>
      <c r="K18" s="13">
        <v>22.5</v>
      </c>
      <c r="M18" s="14" t="s">
        <v>23</v>
      </c>
      <c r="N18" s="13">
        <v>15</v>
      </c>
      <c r="O18" s="13">
        <v>8400</v>
      </c>
    </row>
    <row r="19" spans="1:15">
      <c r="A19" t="s">
        <v>17</v>
      </c>
      <c r="B19" t="s">
        <v>7</v>
      </c>
      <c r="C19" s="8">
        <v>2.5</v>
      </c>
      <c r="D19" s="5">
        <v>0.8</v>
      </c>
      <c r="E19" s="9">
        <f t="shared" si="0"/>
        <v>2</v>
      </c>
      <c r="F19">
        <f>VLOOKUP(A19,Calories!$A$1:$B$15,2,FALSE)</f>
        <v>120</v>
      </c>
      <c r="H19" s="14" t="s">
        <v>12</v>
      </c>
      <c r="I19" s="13">
        <v>16</v>
      </c>
      <c r="J19" s="13">
        <v>31</v>
      </c>
      <c r="K19" s="13">
        <v>7.75</v>
      </c>
      <c r="M19" s="14" t="s">
        <v>12</v>
      </c>
      <c r="N19" s="13">
        <v>16</v>
      </c>
      <c r="O19" s="13">
        <v>7680</v>
      </c>
    </row>
    <row r="20" spans="1:15">
      <c r="A20" t="s">
        <v>6</v>
      </c>
      <c r="B20" t="s">
        <v>7</v>
      </c>
      <c r="C20" s="8">
        <v>4</v>
      </c>
      <c r="D20" s="5">
        <v>0.5</v>
      </c>
      <c r="E20" s="9">
        <f t="shared" si="0"/>
        <v>2</v>
      </c>
      <c r="F20">
        <f>VLOOKUP(A20,Calories!$A$1:$B$15,2,FALSE)</f>
        <v>200</v>
      </c>
      <c r="H20" s="14" t="s">
        <v>10</v>
      </c>
      <c r="I20" s="13">
        <v>16</v>
      </c>
      <c r="J20" s="13">
        <v>80</v>
      </c>
      <c r="K20" s="13">
        <v>64</v>
      </c>
      <c r="M20" s="14" t="s">
        <v>10</v>
      </c>
      <c r="N20" s="13">
        <v>16</v>
      </c>
      <c r="O20" s="13">
        <v>8000</v>
      </c>
    </row>
    <row r="21" spans="1:15">
      <c r="A21" t="s">
        <v>8</v>
      </c>
      <c r="B21" t="s">
        <v>9</v>
      </c>
      <c r="C21" s="8">
        <v>3</v>
      </c>
      <c r="D21" s="5">
        <v>0.66666666666666696</v>
      </c>
      <c r="E21" s="9">
        <f t="shared" si="0"/>
        <v>2.0000000000000009</v>
      </c>
      <c r="F21">
        <f>VLOOKUP(A21,Calories!$A$1:$B$15,2,FALSE)</f>
        <v>320</v>
      </c>
      <c r="H21" s="12" t="s">
        <v>46</v>
      </c>
      <c r="I21" s="13">
        <v>191</v>
      </c>
      <c r="J21" s="13">
        <v>576.5</v>
      </c>
      <c r="K21" s="13">
        <v>366.75</v>
      </c>
      <c r="M21" s="12" t="s">
        <v>46</v>
      </c>
      <c r="N21" s="13">
        <v>191</v>
      </c>
      <c r="O21" s="13">
        <v>56285</v>
      </c>
    </row>
    <row r="22" spans="1:15">
      <c r="A22" t="s">
        <v>26</v>
      </c>
      <c r="B22" t="s">
        <v>19</v>
      </c>
      <c r="C22" s="8">
        <v>2</v>
      </c>
      <c r="D22" s="5">
        <v>0.5</v>
      </c>
      <c r="E22" s="9">
        <f t="shared" si="0"/>
        <v>1</v>
      </c>
      <c r="F22">
        <f>VLOOKUP(A22,Calories!$A$1:$B$15,2,FALSE)</f>
        <v>300</v>
      </c>
    </row>
    <row r="23" spans="1:15">
      <c r="A23" t="s">
        <v>10</v>
      </c>
      <c r="B23" t="s">
        <v>9</v>
      </c>
      <c r="C23" s="8">
        <v>5</v>
      </c>
      <c r="D23" s="5">
        <v>0.8</v>
      </c>
      <c r="E23" s="9">
        <f t="shared" si="0"/>
        <v>4</v>
      </c>
      <c r="F23">
        <f>VLOOKUP(A23,Calories!$A$1:$B$15,2,FALSE)</f>
        <v>500</v>
      </c>
    </row>
    <row r="24" spans="1:15">
      <c r="A24" t="s">
        <v>8</v>
      </c>
      <c r="B24" t="s">
        <v>9</v>
      </c>
      <c r="C24" s="8">
        <v>3</v>
      </c>
      <c r="D24" s="5">
        <v>0.66666666666666696</v>
      </c>
      <c r="E24" s="9">
        <f t="shared" si="0"/>
        <v>2.0000000000000009</v>
      </c>
      <c r="F24">
        <f>VLOOKUP(A24,Calories!$A$1:$B$15,2,FALSE)</f>
        <v>320</v>
      </c>
    </row>
    <row r="25" spans="1:15">
      <c r="A25" t="s">
        <v>23</v>
      </c>
      <c r="B25" t="s">
        <v>9</v>
      </c>
      <c r="C25" s="8">
        <v>3</v>
      </c>
      <c r="D25" s="5">
        <v>0.5</v>
      </c>
      <c r="E25" s="9">
        <f t="shared" si="0"/>
        <v>1.5</v>
      </c>
      <c r="F25">
        <f>VLOOKUP(A25,Calories!$A$1:$B$15,2,FALSE)</f>
        <v>560</v>
      </c>
    </row>
    <row r="26" spans="1:15">
      <c r="A26" t="s">
        <v>23</v>
      </c>
      <c r="B26" t="s">
        <v>9</v>
      </c>
      <c r="C26" s="8">
        <v>3</v>
      </c>
      <c r="D26" s="5">
        <v>0.5</v>
      </c>
      <c r="E26" s="9">
        <f t="shared" si="0"/>
        <v>1.5</v>
      </c>
      <c r="F26">
        <f>VLOOKUP(A26,Calories!$A$1:$B$15,2,FALSE)</f>
        <v>560</v>
      </c>
    </row>
    <row r="27" spans="1:15">
      <c r="A27" t="s">
        <v>15</v>
      </c>
      <c r="B27" t="s">
        <v>22</v>
      </c>
      <c r="C27" s="8">
        <v>3</v>
      </c>
      <c r="D27" s="5">
        <v>0.5</v>
      </c>
      <c r="E27" s="9">
        <f t="shared" si="0"/>
        <v>1.5</v>
      </c>
      <c r="F27">
        <f>VLOOKUP(A27,Calories!$A$1:$B$15,2,FALSE)</f>
        <v>300</v>
      </c>
    </row>
    <row r="28" spans="1:15">
      <c r="A28" t="s">
        <v>18</v>
      </c>
      <c r="B28" t="s">
        <v>19</v>
      </c>
      <c r="C28" s="8">
        <v>2</v>
      </c>
      <c r="D28" s="5">
        <v>0.75</v>
      </c>
      <c r="E28" s="9">
        <f t="shared" si="0"/>
        <v>1.5</v>
      </c>
      <c r="F28">
        <f>VLOOKUP(A28,Calories!$A$1:$B$15,2,FALSE)</f>
        <v>255</v>
      </c>
    </row>
    <row r="29" spans="1:15">
      <c r="A29" t="s">
        <v>8</v>
      </c>
      <c r="B29" t="s">
        <v>9</v>
      </c>
      <c r="C29" s="8">
        <v>3</v>
      </c>
      <c r="D29" s="5">
        <v>0.66666666666666696</v>
      </c>
      <c r="E29" s="9">
        <f t="shared" si="0"/>
        <v>2.0000000000000009</v>
      </c>
      <c r="F29">
        <f>VLOOKUP(A29,Calories!$A$1:$B$15,2,FALSE)</f>
        <v>320</v>
      </c>
    </row>
    <row r="30" spans="1:15">
      <c r="A30" t="s">
        <v>6</v>
      </c>
      <c r="B30" t="s">
        <v>7</v>
      </c>
      <c r="C30" s="8">
        <v>4</v>
      </c>
      <c r="D30" s="5">
        <v>0.5</v>
      </c>
      <c r="E30" s="9">
        <f t="shared" si="0"/>
        <v>2</v>
      </c>
      <c r="F30">
        <f>VLOOKUP(A30,Calories!$A$1:$B$15,2,FALSE)</f>
        <v>200</v>
      </c>
    </row>
    <row r="31" spans="1:15">
      <c r="A31" t="s">
        <v>15</v>
      </c>
      <c r="B31" t="s">
        <v>22</v>
      </c>
      <c r="C31" s="8">
        <v>3</v>
      </c>
      <c r="D31" s="5">
        <v>0.5</v>
      </c>
      <c r="E31" s="9">
        <f t="shared" si="0"/>
        <v>1.5</v>
      </c>
      <c r="F31">
        <f>VLOOKUP(A31,Calories!$A$1:$B$15,2,FALSE)</f>
        <v>300</v>
      </c>
    </row>
    <row r="32" spans="1:15">
      <c r="A32" t="s">
        <v>17</v>
      </c>
      <c r="B32" t="s">
        <v>7</v>
      </c>
      <c r="C32" s="8">
        <v>2.5</v>
      </c>
      <c r="D32" s="5">
        <v>0.8</v>
      </c>
      <c r="E32" s="9">
        <f t="shared" si="0"/>
        <v>2</v>
      </c>
      <c r="F32">
        <f>VLOOKUP(A32,Calories!$A$1:$B$15,2,FALSE)</f>
        <v>120</v>
      </c>
    </row>
    <row r="33" spans="1:6">
      <c r="A33" t="s">
        <v>26</v>
      </c>
      <c r="B33" t="s">
        <v>19</v>
      </c>
      <c r="C33" s="8">
        <v>2</v>
      </c>
      <c r="D33" s="5">
        <v>0.5</v>
      </c>
      <c r="E33" s="9">
        <f t="shared" si="0"/>
        <v>1</v>
      </c>
      <c r="F33">
        <f>VLOOKUP(A33,Calories!$A$1:$B$15,2,FALSE)</f>
        <v>300</v>
      </c>
    </row>
    <row r="34" spans="1:6">
      <c r="A34" t="s">
        <v>15</v>
      </c>
      <c r="B34" t="s">
        <v>22</v>
      </c>
      <c r="C34" s="8">
        <v>3</v>
      </c>
      <c r="D34" s="5">
        <v>0.5</v>
      </c>
      <c r="E34" s="9">
        <f t="shared" si="0"/>
        <v>1.5</v>
      </c>
      <c r="F34">
        <f>VLOOKUP(A34,Calories!$A$1:$B$15,2,FALSE)</f>
        <v>300</v>
      </c>
    </row>
    <row r="35" spans="1:6">
      <c r="A35" t="s">
        <v>27</v>
      </c>
      <c r="B35" t="s">
        <v>19</v>
      </c>
      <c r="C35" s="8">
        <v>2</v>
      </c>
      <c r="D35" s="5">
        <v>0.5</v>
      </c>
      <c r="E35" s="9">
        <f t="shared" si="0"/>
        <v>1</v>
      </c>
      <c r="F35">
        <f>VLOOKUP(A35,Calories!$A$1:$B$15,2,FALSE)</f>
        <v>280</v>
      </c>
    </row>
    <row r="36" spans="1:6">
      <c r="A36" t="s">
        <v>23</v>
      </c>
      <c r="B36" t="s">
        <v>9</v>
      </c>
      <c r="C36" s="8">
        <v>3</v>
      </c>
      <c r="D36" s="5">
        <v>0.5</v>
      </c>
      <c r="E36" s="9">
        <f t="shared" si="0"/>
        <v>1.5</v>
      </c>
      <c r="F36">
        <f>VLOOKUP(A36,Calories!$A$1:$B$15,2,FALSE)</f>
        <v>560</v>
      </c>
    </row>
    <row r="37" spans="1:6">
      <c r="A37" t="s">
        <v>13</v>
      </c>
      <c r="B37" t="s">
        <v>7</v>
      </c>
      <c r="C37" s="8">
        <v>3</v>
      </c>
      <c r="D37" s="5">
        <v>0.83333333333333304</v>
      </c>
      <c r="E37" s="9">
        <f t="shared" si="0"/>
        <v>2.4999999999999991</v>
      </c>
      <c r="F37">
        <f>VLOOKUP(A37,Calories!$A$1:$B$15,2,FALSE)</f>
        <v>0</v>
      </c>
    </row>
    <row r="38" spans="1:6">
      <c r="A38" t="s">
        <v>13</v>
      </c>
      <c r="B38" t="s">
        <v>7</v>
      </c>
      <c r="C38" s="8">
        <v>3</v>
      </c>
      <c r="D38" s="5">
        <v>0.83333333333333304</v>
      </c>
      <c r="E38" s="9">
        <f t="shared" si="0"/>
        <v>2.4999999999999991</v>
      </c>
      <c r="F38">
        <f>VLOOKUP(A38,Calories!$A$1:$B$15,2,FALSE)</f>
        <v>0</v>
      </c>
    </row>
    <row r="39" spans="1:6">
      <c r="A39" t="s">
        <v>10</v>
      </c>
      <c r="B39" t="s">
        <v>9</v>
      </c>
      <c r="C39" s="8">
        <v>5</v>
      </c>
      <c r="D39" s="5">
        <v>0.8</v>
      </c>
      <c r="E39" s="9">
        <f t="shared" si="0"/>
        <v>4</v>
      </c>
      <c r="F39">
        <f>VLOOKUP(A39,Calories!$A$1:$B$15,2,FALSE)</f>
        <v>500</v>
      </c>
    </row>
    <row r="40" spans="1:6">
      <c r="A40" t="s">
        <v>18</v>
      </c>
      <c r="B40" t="s">
        <v>19</v>
      </c>
      <c r="C40" s="8">
        <v>2</v>
      </c>
      <c r="D40" s="5">
        <v>0.75</v>
      </c>
      <c r="E40" s="9">
        <f t="shared" si="0"/>
        <v>1.5</v>
      </c>
      <c r="F40">
        <f>VLOOKUP(A40,Calories!$A$1:$B$15,2,FALSE)</f>
        <v>255</v>
      </c>
    </row>
    <row r="41" spans="1:6">
      <c r="A41" t="s">
        <v>15</v>
      </c>
      <c r="B41" t="s">
        <v>22</v>
      </c>
      <c r="C41" s="8">
        <v>3</v>
      </c>
      <c r="D41" s="5">
        <v>0.5</v>
      </c>
      <c r="E41" s="9">
        <f t="shared" si="0"/>
        <v>1.5</v>
      </c>
      <c r="F41">
        <f>VLOOKUP(A41,Calories!$A$1:$B$15,2,FALSE)</f>
        <v>300</v>
      </c>
    </row>
    <row r="42" spans="1:6">
      <c r="A42" t="s">
        <v>27</v>
      </c>
      <c r="B42" t="s">
        <v>19</v>
      </c>
      <c r="C42" s="8">
        <v>2</v>
      </c>
      <c r="D42" s="5">
        <v>0.5</v>
      </c>
      <c r="E42" s="9">
        <f t="shared" si="0"/>
        <v>1</v>
      </c>
      <c r="F42">
        <f>VLOOKUP(A42,Calories!$A$1:$B$15,2,FALSE)</f>
        <v>280</v>
      </c>
    </row>
    <row r="43" spans="1:6">
      <c r="A43" t="s">
        <v>6</v>
      </c>
      <c r="B43" t="s">
        <v>7</v>
      </c>
      <c r="C43" s="8">
        <v>4</v>
      </c>
      <c r="D43" s="5">
        <v>0.5</v>
      </c>
      <c r="E43" s="9">
        <f t="shared" si="0"/>
        <v>2</v>
      </c>
      <c r="F43">
        <f>VLOOKUP(A43,Calories!$A$1:$B$15,2,FALSE)</f>
        <v>200</v>
      </c>
    </row>
    <row r="44" spans="1:6">
      <c r="A44" t="s">
        <v>14</v>
      </c>
      <c r="B44" t="s">
        <v>9</v>
      </c>
      <c r="C44" s="8">
        <v>1.5</v>
      </c>
      <c r="D44" s="5">
        <v>0.66666666666666696</v>
      </c>
      <c r="E44" s="9">
        <f t="shared" si="0"/>
        <v>1.0000000000000004</v>
      </c>
      <c r="F44">
        <f>VLOOKUP(A44,Calories!$A$1:$B$15,2,FALSE)</f>
        <v>265</v>
      </c>
    </row>
    <row r="45" spans="1:6">
      <c r="A45" t="s">
        <v>18</v>
      </c>
      <c r="B45" t="s">
        <v>19</v>
      </c>
      <c r="C45" s="8">
        <v>2</v>
      </c>
      <c r="D45" s="5">
        <v>0.75</v>
      </c>
      <c r="E45" s="9">
        <f t="shared" si="0"/>
        <v>1.5</v>
      </c>
      <c r="F45">
        <f>VLOOKUP(A45,Calories!$A$1:$B$15,2,FALSE)</f>
        <v>255</v>
      </c>
    </row>
    <row r="46" spans="1:6">
      <c r="A46" t="s">
        <v>12</v>
      </c>
      <c r="B46" t="s">
        <v>9</v>
      </c>
      <c r="C46" s="8">
        <v>2</v>
      </c>
      <c r="D46" s="5">
        <v>0.25</v>
      </c>
      <c r="E46" s="9">
        <f t="shared" si="0"/>
        <v>0.5</v>
      </c>
      <c r="F46">
        <f>VLOOKUP(A46,Calories!$A$1:$B$15,2,FALSE)</f>
        <v>480</v>
      </c>
    </row>
    <row r="47" spans="1:6">
      <c r="A47" t="s">
        <v>8</v>
      </c>
      <c r="B47" t="s">
        <v>9</v>
      </c>
      <c r="C47" s="8">
        <v>3</v>
      </c>
      <c r="D47" s="5">
        <v>0.66666666666666696</v>
      </c>
      <c r="E47" s="9">
        <f t="shared" si="0"/>
        <v>2.0000000000000009</v>
      </c>
      <c r="F47">
        <f>VLOOKUP(A47,Calories!$A$1:$B$15,2,FALSE)</f>
        <v>320</v>
      </c>
    </row>
    <row r="48" spans="1:6">
      <c r="A48" t="s">
        <v>15</v>
      </c>
      <c r="B48" t="s">
        <v>22</v>
      </c>
      <c r="C48" s="8">
        <v>3</v>
      </c>
      <c r="D48" s="5">
        <v>0.5</v>
      </c>
      <c r="E48" s="9">
        <f t="shared" si="0"/>
        <v>1.5</v>
      </c>
      <c r="F48">
        <f>VLOOKUP(A48,Calories!$A$1:$B$15,2,FALSE)</f>
        <v>300</v>
      </c>
    </row>
    <row r="49" spans="1:6">
      <c r="A49" t="s">
        <v>27</v>
      </c>
      <c r="B49" t="s">
        <v>19</v>
      </c>
      <c r="C49" s="8">
        <v>2</v>
      </c>
      <c r="D49" s="5">
        <v>0.5</v>
      </c>
      <c r="E49" s="9">
        <f t="shared" si="0"/>
        <v>1</v>
      </c>
      <c r="F49">
        <f>VLOOKUP(A49,Calories!$A$1:$B$15,2,FALSE)</f>
        <v>280</v>
      </c>
    </row>
    <row r="50" spans="1:6">
      <c r="A50" t="s">
        <v>23</v>
      </c>
      <c r="B50" t="s">
        <v>9</v>
      </c>
      <c r="C50" s="8">
        <v>3</v>
      </c>
      <c r="D50" s="5">
        <v>0.5</v>
      </c>
      <c r="E50" s="9">
        <f t="shared" si="0"/>
        <v>1.5</v>
      </c>
      <c r="F50">
        <f>VLOOKUP(A50,Calories!$A$1:$B$15,2,FALSE)</f>
        <v>560</v>
      </c>
    </row>
    <row r="51" spans="1:6">
      <c r="A51" t="s">
        <v>10</v>
      </c>
      <c r="B51" t="s">
        <v>9</v>
      </c>
      <c r="C51" s="8">
        <v>5</v>
      </c>
      <c r="D51" s="5">
        <v>0.8</v>
      </c>
      <c r="E51" s="9">
        <f t="shared" si="0"/>
        <v>4</v>
      </c>
      <c r="F51">
        <f>VLOOKUP(A51,Calories!$A$1:$B$15,2,FALSE)</f>
        <v>500</v>
      </c>
    </row>
    <row r="52" spans="1:6">
      <c r="A52" t="s">
        <v>18</v>
      </c>
      <c r="B52" t="s">
        <v>19</v>
      </c>
      <c r="C52" s="8">
        <v>2</v>
      </c>
      <c r="D52" s="5">
        <v>0.75</v>
      </c>
      <c r="E52" s="9">
        <f t="shared" si="0"/>
        <v>1.5</v>
      </c>
      <c r="F52">
        <f>VLOOKUP(A52,Calories!$A$1:$B$15,2,FALSE)</f>
        <v>255</v>
      </c>
    </row>
    <row r="53" spans="1:6">
      <c r="A53" t="s">
        <v>14</v>
      </c>
      <c r="B53" t="s">
        <v>9</v>
      </c>
      <c r="C53" s="8">
        <v>1.5</v>
      </c>
      <c r="D53" s="5">
        <v>0.66666666666666696</v>
      </c>
      <c r="E53" s="9">
        <f t="shared" si="0"/>
        <v>1.0000000000000004</v>
      </c>
      <c r="F53">
        <f>VLOOKUP(A53,Calories!$A$1:$B$15,2,FALSE)</f>
        <v>265</v>
      </c>
    </row>
    <row r="54" spans="1:6">
      <c r="A54" t="s">
        <v>10</v>
      </c>
      <c r="B54" t="s">
        <v>9</v>
      </c>
      <c r="C54" s="8">
        <v>5</v>
      </c>
      <c r="D54" s="5">
        <v>0.8</v>
      </c>
      <c r="E54" s="9">
        <f t="shared" si="0"/>
        <v>4</v>
      </c>
      <c r="F54">
        <f>VLOOKUP(A54,Calories!$A$1:$B$15,2,FALSE)</f>
        <v>500</v>
      </c>
    </row>
    <row r="55" spans="1:6">
      <c r="A55" t="s">
        <v>6</v>
      </c>
      <c r="B55" t="s">
        <v>7</v>
      </c>
      <c r="C55" s="8">
        <v>4</v>
      </c>
      <c r="D55" s="5">
        <v>0.5</v>
      </c>
      <c r="E55" s="9">
        <f t="shared" si="0"/>
        <v>2</v>
      </c>
      <c r="F55">
        <f>VLOOKUP(A55,Calories!$A$1:$B$15,2,FALSE)</f>
        <v>200</v>
      </c>
    </row>
    <row r="56" spans="1:6">
      <c r="A56" t="s">
        <v>15</v>
      </c>
      <c r="B56" t="s">
        <v>22</v>
      </c>
      <c r="C56" s="8">
        <v>3</v>
      </c>
      <c r="D56" s="5">
        <v>0.5</v>
      </c>
      <c r="E56" s="9">
        <f t="shared" si="0"/>
        <v>1.5</v>
      </c>
      <c r="F56">
        <f>VLOOKUP(A56,Calories!$A$1:$B$15,2,FALSE)</f>
        <v>300</v>
      </c>
    </row>
    <row r="57" spans="1:6">
      <c r="A57" t="s">
        <v>26</v>
      </c>
      <c r="B57" t="s">
        <v>19</v>
      </c>
      <c r="C57" s="8">
        <v>2</v>
      </c>
      <c r="D57" s="5">
        <v>0.5</v>
      </c>
      <c r="E57" s="9">
        <f t="shared" si="0"/>
        <v>1</v>
      </c>
      <c r="F57">
        <f>VLOOKUP(A57,Calories!$A$1:$B$15,2,FALSE)</f>
        <v>300</v>
      </c>
    </row>
    <row r="58" spans="1:6">
      <c r="A58" t="s">
        <v>27</v>
      </c>
      <c r="B58" t="s">
        <v>19</v>
      </c>
      <c r="C58" s="8">
        <v>2</v>
      </c>
      <c r="D58" s="5">
        <v>0.5</v>
      </c>
      <c r="E58" s="9">
        <f t="shared" si="0"/>
        <v>1</v>
      </c>
      <c r="F58">
        <f>VLOOKUP(A58,Calories!$A$1:$B$15,2,FALSE)</f>
        <v>280</v>
      </c>
    </row>
    <row r="59" spans="1:6">
      <c r="A59" t="s">
        <v>6</v>
      </c>
      <c r="B59" t="s">
        <v>7</v>
      </c>
      <c r="C59" s="8">
        <v>4</v>
      </c>
      <c r="D59" s="5">
        <v>0.5</v>
      </c>
      <c r="E59" s="9">
        <f t="shared" si="0"/>
        <v>2</v>
      </c>
      <c r="F59">
        <f>VLOOKUP(A59,Calories!$A$1:$B$15,2,FALSE)</f>
        <v>200</v>
      </c>
    </row>
    <row r="60" spans="1:6">
      <c r="A60" t="s">
        <v>27</v>
      </c>
      <c r="B60" t="s">
        <v>19</v>
      </c>
      <c r="C60" s="8">
        <v>2</v>
      </c>
      <c r="D60" s="5">
        <v>0.5</v>
      </c>
      <c r="E60" s="9">
        <f t="shared" si="0"/>
        <v>1</v>
      </c>
      <c r="F60">
        <f>VLOOKUP(A60,Calories!$A$1:$B$15,2,FALSE)</f>
        <v>280</v>
      </c>
    </row>
    <row r="61" spans="1:6">
      <c r="A61" t="s">
        <v>6</v>
      </c>
      <c r="B61" t="s">
        <v>7</v>
      </c>
      <c r="C61" s="8">
        <v>4</v>
      </c>
      <c r="D61" s="5">
        <v>0.5</v>
      </c>
      <c r="E61" s="9">
        <f t="shared" si="0"/>
        <v>2</v>
      </c>
      <c r="F61">
        <f>VLOOKUP(A61,Calories!$A$1:$B$15,2,FALSE)</f>
        <v>200</v>
      </c>
    </row>
    <row r="62" spans="1:6">
      <c r="A62" t="s">
        <v>17</v>
      </c>
      <c r="B62" t="s">
        <v>7</v>
      </c>
      <c r="C62" s="8">
        <v>25</v>
      </c>
      <c r="D62" s="5">
        <v>0.8</v>
      </c>
      <c r="E62" s="9">
        <f t="shared" si="0"/>
        <v>20</v>
      </c>
      <c r="F62">
        <f>VLOOKUP(A62,Calories!$A$1:$B$15,2,FALSE)</f>
        <v>120</v>
      </c>
    </row>
    <row r="63" spans="1:6">
      <c r="A63" t="s">
        <v>14</v>
      </c>
      <c r="B63" t="s">
        <v>9</v>
      </c>
      <c r="C63" s="8">
        <v>1.5</v>
      </c>
      <c r="D63" s="5">
        <v>0.66666666666666696</v>
      </c>
      <c r="E63" s="9">
        <f t="shared" si="0"/>
        <v>1.0000000000000004</v>
      </c>
      <c r="F63">
        <f>VLOOKUP(A63,Calories!$A$1:$B$15,2,FALSE)</f>
        <v>265</v>
      </c>
    </row>
    <row r="64" spans="1:6">
      <c r="A64" t="s">
        <v>12</v>
      </c>
      <c r="B64" t="s">
        <v>9</v>
      </c>
      <c r="C64" s="8">
        <v>2</v>
      </c>
      <c r="D64" s="5">
        <v>0.25</v>
      </c>
      <c r="E64" s="9">
        <f t="shared" si="0"/>
        <v>0.5</v>
      </c>
      <c r="F64">
        <f>VLOOKUP(A64,Calories!$A$1:$B$15,2,FALSE)</f>
        <v>480</v>
      </c>
    </row>
    <row r="65" spans="1:6">
      <c r="A65" t="s">
        <v>17</v>
      </c>
      <c r="B65" t="s">
        <v>7</v>
      </c>
      <c r="C65" s="8">
        <v>2.5</v>
      </c>
      <c r="D65" s="5">
        <v>0.8</v>
      </c>
      <c r="E65" s="9">
        <f t="shared" si="0"/>
        <v>2</v>
      </c>
      <c r="F65">
        <f>VLOOKUP(A65,Calories!$A$1:$B$15,2,FALSE)</f>
        <v>120</v>
      </c>
    </row>
    <row r="66" spans="1:6">
      <c r="A66" t="s">
        <v>26</v>
      </c>
      <c r="B66" t="s">
        <v>19</v>
      </c>
      <c r="C66" s="8">
        <v>2</v>
      </c>
      <c r="D66" s="5">
        <v>0.5</v>
      </c>
      <c r="E66" s="9">
        <f t="shared" si="0"/>
        <v>1</v>
      </c>
      <c r="F66">
        <f>VLOOKUP(A66,Calories!$A$1:$B$15,2,FALSE)</f>
        <v>300</v>
      </c>
    </row>
    <row r="67" spans="1:6">
      <c r="A67" t="s">
        <v>15</v>
      </c>
      <c r="B67" t="s">
        <v>22</v>
      </c>
      <c r="C67" s="8">
        <v>3</v>
      </c>
      <c r="D67" s="5">
        <v>0.5</v>
      </c>
      <c r="E67" s="9">
        <f t="shared" ref="E67:E130" si="1">C67*D67</f>
        <v>1.5</v>
      </c>
      <c r="F67">
        <f>VLOOKUP(A67,Calories!$A$1:$B$15,2,FALSE)</f>
        <v>300</v>
      </c>
    </row>
    <row r="68" spans="1:6">
      <c r="A68" t="s">
        <v>17</v>
      </c>
      <c r="B68" t="s">
        <v>7</v>
      </c>
      <c r="C68" s="8">
        <v>2.5</v>
      </c>
      <c r="D68" s="5">
        <v>0.8</v>
      </c>
      <c r="E68" s="9">
        <f t="shared" si="1"/>
        <v>2</v>
      </c>
      <c r="F68">
        <f>VLOOKUP(A68,Calories!$A$1:$B$15,2,FALSE)</f>
        <v>120</v>
      </c>
    </row>
    <row r="69" spans="1:6">
      <c r="A69" t="s">
        <v>18</v>
      </c>
      <c r="B69" t="s">
        <v>19</v>
      </c>
      <c r="C69" s="8">
        <v>2</v>
      </c>
      <c r="D69" s="5">
        <v>0.75</v>
      </c>
      <c r="E69" s="9">
        <f t="shared" si="1"/>
        <v>1.5</v>
      </c>
      <c r="F69">
        <f>VLOOKUP(A69,Calories!$A$1:$B$15,2,FALSE)</f>
        <v>255</v>
      </c>
    </row>
    <row r="70" spans="1:6">
      <c r="A70" t="s">
        <v>6</v>
      </c>
      <c r="B70" t="s">
        <v>7</v>
      </c>
      <c r="C70" s="8">
        <v>4</v>
      </c>
      <c r="D70" s="5">
        <v>0.5</v>
      </c>
      <c r="E70" s="9">
        <f t="shared" si="1"/>
        <v>2</v>
      </c>
      <c r="F70">
        <f>VLOOKUP(A70,Calories!$A$1:$B$15,2,FALSE)</f>
        <v>200</v>
      </c>
    </row>
    <row r="71" spans="1:6">
      <c r="A71" t="s">
        <v>15</v>
      </c>
      <c r="B71" t="s">
        <v>22</v>
      </c>
      <c r="C71" s="8">
        <v>3</v>
      </c>
      <c r="D71" s="5">
        <v>0.5</v>
      </c>
      <c r="E71" s="9">
        <f t="shared" si="1"/>
        <v>1.5</v>
      </c>
      <c r="F71">
        <f>VLOOKUP(A71,Calories!$A$1:$B$15,2,FALSE)</f>
        <v>300</v>
      </c>
    </row>
    <row r="72" spans="1:6">
      <c r="A72" t="s">
        <v>6</v>
      </c>
      <c r="B72" t="s">
        <v>7</v>
      </c>
      <c r="C72" s="8">
        <v>4</v>
      </c>
      <c r="D72" s="5">
        <v>0.5</v>
      </c>
      <c r="E72" s="9">
        <f t="shared" si="1"/>
        <v>2</v>
      </c>
      <c r="F72">
        <f>VLOOKUP(A72,Calories!$A$1:$B$15,2,FALSE)</f>
        <v>200</v>
      </c>
    </row>
    <row r="73" spans="1:6">
      <c r="A73" t="s">
        <v>23</v>
      </c>
      <c r="B73" t="s">
        <v>9</v>
      </c>
      <c r="C73" s="8">
        <v>3</v>
      </c>
      <c r="D73" s="5">
        <v>0.5</v>
      </c>
      <c r="E73" s="9">
        <f t="shared" si="1"/>
        <v>1.5</v>
      </c>
      <c r="F73">
        <f>VLOOKUP(A73,Calories!$A$1:$B$15,2,FALSE)</f>
        <v>560</v>
      </c>
    </row>
    <row r="74" spans="1:6">
      <c r="A74" t="s">
        <v>23</v>
      </c>
      <c r="B74" t="s">
        <v>9</v>
      </c>
      <c r="C74" s="8">
        <v>3</v>
      </c>
      <c r="D74" s="5">
        <v>0.5</v>
      </c>
      <c r="E74" s="9">
        <f t="shared" si="1"/>
        <v>1.5</v>
      </c>
      <c r="F74">
        <f>VLOOKUP(A74,Calories!$A$1:$B$15,2,FALSE)</f>
        <v>560</v>
      </c>
    </row>
    <row r="75" spans="1:6">
      <c r="A75" t="s">
        <v>23</v>
      </c>
      <c r="B75" t="s">
        <v>9</v>
      </c>
      <c r="C75" s="8">
        <v>3</v>
      </c>
      <c r="D75" s="5">
        <v>0.5</v>
      </c>
      <c r="E75" s="9">
        <f t="shared" si="1"/>
        <v>1.5</v>
      </c>
      <c r="F75">
        <f>VLOOKUP(A75,Calories!$A$1:$B$15,2,FALSE)</f>
        <v>560</v>
      </c>
    </row>
    <row r="76" spans="1:6">
      <c r="A76" t="s">
        <v>26</v>
      </c>
      <c r="B76" t="s">
        <v>19</v>
      </c>
      <c r="C76" s="8">
        <v>2</v>
      </c>
      <c r="D76" s="5">
        <v>0.5</v>
      </c>
      <c r="E76" s="9">
        <f t="shared" si="1"/>
        <v>1</v>
      </c>
      <c r="F76">
        <f>VLOOKUP(A76,Calories!$A$1:$B$15,2,FALSE)</f>
        <v>300</v>
      </c>
    </row>
    <row r="77" spans="1:6">
      <c r="A77" t="s">
        <v>14</v>
      </c>
      <c r="B77" t="s">
        <v>9</v>
      </c>
      <c r="C77" s="8">
        <v>1.5</v>
      </c>
      <c r="D77" s="5">
        <v>0.66666666666666696</v>
      </c>
      <c r="E77" s="9">
        <f t="shared" si="1"/>
        <v>1.0000000000000004</v>
      </c>
      <c r="F77">
        <f>VLOOKUP(A77,Calories!$A$1:$B$15,2,FALSE)</f>
        <v>265</v>
      </c>
    </row>
    <row r="78" spans="1:6">
      <c r="A78" t="s">
        <v>12</v>
      </c>
      <c r="B78" t="s">
        <v>9</v>
      </c>
      <c r="C78" s="8">
        <v>2</v>
      </c>
      <c r="D78" s="5">
        <v>0.25</v>
      </c>
      <c r="E78" s="9">
        <f t="shared" si="1"/>
        <v>0.5</v>
      </c>
      <c r="F78">
        <f>VLOOKUP(A78,Calories!$A$1:$B$15,2,FALSE)</f>
        <v>480</v>
      </c>
    </row>
    <row r="79" spans="1:6">
      <c r="A79" t="s">
        <v>13</v>
      </c>
      <c r="B79" t="s">
        <v>7</v>
      </c>
      <c r="C79" s="8">
        <v>3</v>
      </c>
      <c r="D79" s="5">
        <v>0.83333333333333304</v>
      </c>
      <c r="E79" s="9">
        <f t="shared" si="1"/>
        <v>2.4999999999999991</v>
      </c>
      <c r="F79">
        <f>VLOOKUP(A79,Calories!$A$1:$B$15,2,FALSE)</f>
        <v>0</v>
      </c>
    </row>
    <row r="80" spans="1:6">
      <c r="A80" t="s">
        <v>8</v>
      </c>
      <c r="B80" t="s">
        <v>9</v>
      </c>
      <c r="C80" s="8">
        <v>3</v>
      </c>
      <c r="D80" s="5">
        <v>0.66666666666666696</v>
      </c>
      <c r="E80" s="9">
        <f t="shared" si="1"/>
        <v>2.0000000000000009</v>
      </c>
      <c r="F80">
        <f>VLOOKUP(A80,Calories!$A$1:$B$15,2,FALSE)</f>
        <v>320</v>
      </c>
    </row>
    <row r="81" spans="1:6">
      <c r="A81" t="s">
        <v>15</v>
      </c>
      <c r="B81" t="s">
        <v>22</v>
      </c>
      <c r="C81" s="8">
        <v>3</v>
      </c>
      <c r="D81" s="5">
        <v>0.5</v>
      </c>
      <c r="E81" s="9">
        <f t="shared" si="1"/>
        <v>1.5</v>
      </c>
      <c r="F81">
        <f>VLOOKUP(A81,Calories!$A$1:$B$15,2,FALSE)</f>
        <v>300</v>
      </c>
    </row>
    <row r="82" spans="1:6">
      <c r="A82" s="16" t="s">
        <v>71</v>
      </c>
      <c r="B82" t="s">
        <v>9</v>
      </c>
      <c r="C82" s="8">
        <v>5</v>
      </c>
      <c r="D82" s="5">
        <v>0.8</v>
      </c>
      <c r="E82" s="9">
        <f t="shared" si="1"/>
        <v>4</v>
      </c>
      <c r="F82">
        <f>VLOOKUP(A82,Calories!$A$1:$B$15,2,FALSE)</f>
        <v>500</v>
      </c>
    </row>
    <row r="83" spans="1:6">
      <c r="A83" t="s">
        <v>14</v>
      </c>
      <c r="B83" t="s">
        <v>9</v>
      </c>
      <c r="C83" s="8">
        <v>1.5</v>
      </c>
      <c r="D83" s="5">
        <v>0.66666666666666696</v>
      </c>
      <c r="E83" s="9">
        <f t="shared" si="1"/>
        <v>1.0000000000000004</v>
      </c>
      <c r="F83">
        <f>VLOOKUP(A83,Calories!$A$1:$B$15,2,FALSE)</f>
        <v>265</v>
      </c>
    </row>
    <row r="84" spans="1:6">
      <c r="A84" t="s">
        <v>29</v>
      </c>
      <c r="B84" t="s">
        <v>22</v>
      </c>
      <c r="C84" s="8">
        <v>3</v>
      </c>
      <c r="D84" s="5">
        <v>0.66666666666666696</v>
      </c>
      <c r="E84" s="9">
        <f t="shared" si="1"/>
        <v>2.0000000000000009</v>
      </c>
      <c r="F84">
        <f>VLOOKUP(A84,Calories!$A$1:$B$15,2,FALSE)</f>
        <v>240</v>
      </c>
    </row>
    <row r="85" spans="1:6">
      <c r="A85" t="s">
        <v>18</v>
      </c>
      <c r="B85" t="s">
        <v>19</v>
      </c>
      <c r="C85" s="8">
        <v>2</v>
      </c>
      <c r="D85" s="5">
        <v>0.75</v>
      </c>
      <c r="E85" s="9">
        <f t="shared" si="1"/>
        <v>1.5</v>
      </c>
      <c r="F85">
        <f>VLOOKUP(A85,Calories!$A$1:$B$15,2,FALSE)</f>
        <v>255</v>
      </c>
    </row>
    <row r="86" spans="1:6">
      <c r="A86" t="s">
        <v>27</v>
      </c>
      <c r="B86" t="s">
        <v>19</v>
      </c>
      <c r="C86" s="8">
        <v>2</v>
      </c>
      <c r="D86" s="5">
        <v>0.5</v>
      </c>
      <c r="E86" s="9">
        <f t="shared" si="1"/>
        <v>1</v>
      </c>
      <c r="F86">
        <f>VLOOKUP(A86,Calories!$A$1:$B$15,2,FALSE)</f>
        <v>280</v>
      </c>
    </row>
    <row r="87" spans="1:6">
      <c r="A87" t="s">
        <v>6</v>
      </c>
      <c r="B87" t="s">
        <v>7</v>
      </c>
      <c r="C87" s="8">
        <v>4</v>
      </c>
      <c r="D87" s="5">
        <v>0.5</v>
      </c>
      <c r="E87" s="9">
        <f t="shared" si="1"/>
        <v>2</v>
      </c>
      <c r="F87">
        <f>VLOOKUP(A87,Calories!$A$1:$B$15,2,FALSE)</f>
        <v>200</v>
      </c>
    </row>
    <row r="88" spans="1:6">
      <c r="A88" t="s">
        <v>14</v>
      </c>
      <c r="B88" t="s">
        <v>9</v>
      </c>
      <c r="C88" s="8">
        <v>1.5</v>
      </c>
      <c r="D88" s="5">
        <v>0.66666666666666696</v>
      </c>
      <c r="E88" s="9">
        <f t="shared" si="1"/>
        <v>1.0000000000000004</v>
      </c>
      <c r="F88">
        <f>VLOOKUP(A88,Calories!$A$1:$B$15,2,FALSE)</f>
        <v>265</v>
      </c>
    </row>
    <row r="89" spans="1:6">
      <c r="A89" t="s">
        <v>29</v>
      </c>
      <c r="B89" t="s">
        <v>22</v>
      </c>
      <c r="C89" s="8">
        <v>3</v>
      </c>
      <c r="D89" s="5">
        <v>0.66666666666666696</v>
      </c>
      <c r="E89" s="9">
        <f t="shared" si="1"/>
        <v>2.0000000000000009</v>
      </c>
      <c r="F89">
        <f>VLOOKUP(A89,Calories!$A$1:$B$15,2,FALSE)</f>
        <v>240</v>
      </c>
    </row>
    <row r="90" spans="1:6">
      <c r="A90" t="s">
        <v>14</v>
      </c>
      <c r="B90" t="s">
        <v>9</v>
      </c>
      <c r="C90" s="8">
        <v>1.5</v>
      </c>
      <c r="D90" s="5">
        <v>0.66666666666666696</v>
      </c>
      <c r="E90" s="9">
        <f t="shared" si="1"/>
        <v>1.0000000000000004</v>
      </c>
      <c r="F90">
        <f>VLOOKUP(A90,Calories!$A$1:$B$15,2,FALSE)</f>
        <v>265</v>
      </c>
    </row>
    <row r="91" spans="1:6">
      <c r="A91" t="s">
        <v>29</v>
      </c>
      <c r="B91" t="s">
        <v>22</v>
      </c>
      <c r="C91" s="8">
        <v>3</v>
      </c>
      <c r="D91" s="5">
        <v>0.66666666666666696</v>
      </c>
      <c r="E91" s="9">
        <f t="shared" si="1"/>
        <v>2.0000000000000009</v>
      </c>
      <c r="F91">
        <f>VLOOKUP(A91,Calories!$A$1:$B$15,2,FALSE)</f>
        <v>240</v>
      </c>
    </row>
    <row r="92" spans="1:6">
      <c r="A92" t="s">
        <v>17</v>
      </c>
      <c r="B92" t="s">
        <v>7</v>
      </c>
      <c r="C92" s="8">
        <v>2.5</v>
      </c>
      <c r="D92" s="5">
        <v>0.8</v>
      </c>
      <c r="E92" s="9">
        <f t="shared" si="1"/>
        <v>2</v>
      </c>
      <c r="F92">
        <f>VLOOKUP(A92,Calories!$A$1:$B$15,2,FALSE)</f>
        <v>120</v>
      </c>
    </row>
    <row r="93" spans="1:6">
      <c r="A93" t="s">
        <v>18</v>
      </c>
      <c r="B93" t="s">
        <v>19</v>
      </c>
      <c r="C93" s="8">
        <v>2</v>
      </c>
      <c r="D93" s="5">
        <v>0.75</v>
      </c>
      <c r="E93" s="9">
        <f t="shared" si="1"/>
        <v>1.5</v>
      </c>
      <c r="F93">
        <f>VLOOKUP(A93,Calories!$A$1:$B$15,2,FALSE)</f>
        <v>255</v>
      </c>
    </row>
    <row r="94" spans="1:6">
      <c r="A94" t="s">
        <v>26</v>
      </c>
      <c r="B94" t="s">
        <v>19</v>
      </c>
      <c r="C94" s="8">
        <v>2</v>
      </c>
      <c r="D94" s="5">
        <v>0.5</v>
      </c>
      <c r="E94" s="9">
        <f t="shared" si="1"/>
        <v>1</v>
      </c>
      <c r="F94">
        <f>VLOOKUP(A94,Calories!$A$1:$B$15,2,FALSE)</f>
        <v>300</v>
      </c>
    </row>
    <row r="95" spans="1:6">
      <c r="A95" t="s">
        <v>12</v>
      </c>
      <c r="B95" t="s">
        <v>9</v>
      </c>
      <c r="C95" s="8">
        <v>2</v>
      </c>
      <c r="D95" s="5">
        <v>0.25</v>
      </c>
      <c r="E95" s="9">
        <f t="shared" si="1"/>
        <v>0.5</v>
      </c>
      <c r="F95">
        <f>VLOOKUP(A95,Calories!$A$1:$B$15,2,FALSE)</f>
        <v>480</v>
      </c>
    </row>
    <row r="96" spans="1:6">
      <c r="A96" t="s">
        <v>14</v>
      </c>
      <c r="B96" t="s">
        <v>9</v>
      </c>
      <c r="C96" s="8">
        <v>1.5</v>
      </c>
      <c r="D96" s="5">
        <v>0.66666666666666696</v>
      </c>
      <c r="E96" s="9">
        <f t="shared" si="1"/>
        <v>1.0000000000000004</v>
      </c>
      <c r="F96">
        <f>VLOOKUP(A96,Calories!$A$1:$B$15,2,FALSE)</f>
        <v>265</v>
      </c>
    </row>
    <row r="97" spans="1:6">
      <c r="A97" t="s">
        <v>26</v>
      </c>
      <c r="B97" t="s">
        <v>19</v>
      </c>
      <c r="C97" s="8">
        <v>2</v>
      </c>
      <c r="D97" s="5">
        <v>0.5</v>
      </c>
      <c r="E97" s="9">
        <f t="shared" si="1"/>
        <v>1</v>
      </c>
      <c r="F97">
        <f>VLOOKUP(A97,Calories!$A$1:$B$15,2,FALSE)</f>
        <v>300</v>
      </c>
    </row>
    <row r="98" spans="1:6">
      <c r="A98" t="s">
        <v>29</v>
      </c>
      <c r="B98" t="s">
        <v>22</v>
      </c>
      <c r="C98" s="8">
        <v>3</v>
      </c>
      <c r="D98" s="5">
        <v>0.66666666666666696</v>
      </c>
      <c r="E98" s="9">
        <f t="shared" si="1"/>
        <v>2.0000000000000009</v>
      </c>
      <c r="F98">
        <f>VLOOKUP(A98,Calories!$A$1:$B$15,2,FALSE)</f>
        <v>240</v>
      </c>
    </row>
    <row r="99" spans="1:6">
      <c r="A99" t="s">
        <v>27</v>
      </c>
      <c r="B99" t="s">
        <v>19</v>
      </c>
      <c r="C99" s="8">
        <v>2</v>
      </c>
      <c r="D99" s="5">
        <v>0.5</v>
      </c>
      <c r="E99" s="9">
        <f t="shared" si="1"/>
        <v>1</v>
      </c>
      <c r="F99">
        <f>VLOOKUP(A99,Calories!$A$1:$B$15,2,FALSE)</f>
        <v>280</v>
      </c>
    </row>
    <row r="100" spans="1:6">
      <c r="A100" t="s">
        <v>6</v>
      </c>
      <c r="B100" t="s">
        <v>7</v>
      </c>
      <c r="C100" s="8">
        <v>3</v>
      </c>
      <c r="D100" s="5">
        <v>0.5</v>
      </c>
      <c r="E100" s="9">
        <f t="shared" si="1"/>
        <v>1.5</v>
      </c>
      <c r="F100">
        <f>VLOOKUP(A100,Calories!$A$1:$B$15,2,FALSE)</f>
        <v>200</v>
      </c>
    </row>
    <row r="101" spans="1:6">
      <c r="A101" t="s">
        <v>8</v>
      </c>
      <c r="B101" t="s">
        <v>9</v>
      </c>
      <c r="C101" s="8">
        <v>3</v>
      </c>
      <c r="D101" s="5">
        <v>0.66666666666666696</v>
      </c>
      <c r="E101" s="9">
        <f t="shared" si="1"/>
        <v>2.0000000000000009</v>
      </c>
      <c r="F101">
        <f>VLOOKUP(A101,Calories!$A$1:$B$15,2,FALSE)</f>
        <v>320</v>
      </c>
    </row>
    <row r="102" spans="1:6">
      <c r="A102" t="s">
        <v>6</v>
      </c>
      <c r="B102" t="s">
        <v>7</v>
      </c>
      <c r="C102" s="8">
        <v>4</v>
      </c>
      <c r="D102" s="5">
        <v>0.5</v>
      </c>
      <c r="E102" s="9">
        <f t="shared" si="1"/>
        <v>2</v>
      </c>
      <c r="F102">
        <f>VLOOKUP(A102,Calories!$A$1:$B$15,2,FALSE)</f>
        <v>200</v>
      </c>
    </row>
    <row r="103" spans="1:6">
      <c r="A103" t="s">
        <v>29</v>
      </c>
      <c r="B103" t="s">
        <v>22</v>
      </c>
      <c r="C103" s="8">
        <v>3</v>
      </c>
      <c r="D103" s="5">
        <v>0.66666666666666696</v>
      </c>
      <c r="E103" s="9">
        <f t="shared" si="1"/>
        <v>2.0000000000000009</v>
      </c>
      <c r="F103">
        <f>VLOOKUP(A103,Calories!$A$1:$B$15,2,FALSE)</f>
        <v>240</v>
      </c>
    </row>
    <row r="104" spans="1:6">
      <c r="A104" t="s">
        <v>26</v>
      </c>
      <c r="B104" t="s">
        <v>19</v>
      </c>
      <c r="C104" s="8">
        <v>2</v>
      </c>
      <c r="D104" s="5">
        <v>0.5</v>
      </c>
      <c r="E104" s="9">
        <f t="shared" si="1"/>
        <v>1</v>
      </c>
      <c r="F104">
        <f>VLOOKUP(A104,Calories!$A$1:$B$15,2,FALSE)</f>
        <v>300</v>
      </c>
    </row>
    <row r="105" spans="1:6">
      <c r="A105" s="16" t="s">
        <v>8</v>
      </c>
      <c r="B105" t="s">
        <v>9</v>
      </c>
      <c r="C105" s="8">
        <v>3</v>
      </c>
      <c r="D105" s="5">
        <v>0.66666666666666696</v>
      </c>
      <c r="E105" s="9">
        <f t="shared" si="1"/>
        <v>2.0000000000000009</v>
      </c>
      <c r="F105">
        <f>VLOOKUP(A105,Calories!$A$1:$B$15,2,FALSE)</f>
        <v>320</v>
      </c>
    </row>
    <row r="106" spans="1:6">
      <c r="A106" t="s">
        <v>27</v>
      </c>
      <c r="B106" t="s">
        <v>19</v>
      </c>
      <c r="C106" s="8">
        <v>20</v>
      </c>
      <c r="D106" s="5">
        <v>0.5</v>
      </c>
      <c r="E106" s="9">
        <f t="shared" si="1"/>
        <v>10</v>
      </c>
      <c r="F106">
        <f>VLOOKUP(A106,Calories!$A$1:$B$15,2,FALSE)</f>
        <v>280</v>
      </c>
    </row>
    <row r="107" spans="1:6">
      <c r="A107" t="s">
        <v>8</v>
      </c>
      <c r="B107" t="s">
        <v>9</v>
      </c>
      <c r="C107" s="8">
        <v>3</v>
      </c>
      <c r="D107" s="5">
        <v>0.66666666666666696</v>
      </c>
      <c r="E107" s="9">
        <f t="shared" si="1"/>
        <v>2.0000000000000009</v>
      </c>
      <c r="F107">
        <f>VLOOKUP(A107,Calories!$A$1:$B$15,2,FALSE)</f>
        <v>320</v>
      </c>
    </row>
    <row r="108" spans="1:6">
      <c r="A108" t="s">
        <v>17</v>
      </c>
      <c r="B108" t="s">
        <v>7</v>
      </c>
      <c r="C108" s="8">
        <v>2.5</v>
      </c>
      <c r="D108" s="5">
        <v>0.8</v>
      </c>
      <c r="E108" s="9">
        <f t="shared" si="1"/>
        <v>2</v>
      </c>
      <c r="F108">
        <f>VLOOKUP(A108,Calories!$A$1:$B$15,2,FALSE)</f>
        <v>120</v>
      </c>
    </row>
    <row r="109" spans="1:6">
      <c r="A109" t="s">
        <v>13</v>
      </c>
      <c r="B109" t="s">
        <v>7</v>
      </c>
      <c r="C109" s="8">
        <v>3</v>
      </c>
      <c r="D109" s="5">
        <v>0.83333333333333304</v>
      </c>
      <c r="E109" s="9">
        <f t="shared" si="1"/>
        <v>2.4999999999999991</v>
      </c>
      <c r="F109">
        <f>VLOOKUP(A109,Calories!$A$1:$B$15,2,FALSE)</f>
        <v>0</v>
      </c>
    </row>
    <row r="110" spans="1:6">
      <c r="A110" t="s">
        <v>8</v>
      </c>
      <c r="B110" t="s">
        <v>9</v>
      </c>
      <c r="C110" s="8">
        <v>3</v>
      </c>
      <c r="D110" s="5">
        <v>0.66666666666666696</v>
      </c>
      <c r="E110" s="9">
        <f t="shared" si="1"/>
        <v>2.0000000000000009</v>
      </c>
      <c r="F110">
        <f>VLOOKUP(A110,Calories!$A$1:$B$15,2,FALSE)</f>
        <v>320</v>
      </c>
    </row>
    <row r="111" spans="1:6">
      <c r="A111" t="s">
        <v>29</v>
      </c>
      <c r="B111" t="s">
        <v>22</v>
      </c>
      <c r="C111" s="8">
        <v>3</v>
      </c>
      <c r="D111" s="5">
        <v>0.66666666666666696</v>
      </c>
      <c r="E111" s="9">
        <f t="shared" si="1"/>
        <v>2.0000000000000009</v>
      </c>
      <c r="F111">
        <f>VLOOKUP(A111,Calories!$A$1:$B$15,2,FALSE)</f>
        <v>240</v>
      </c>
    </row>
    <row r="112" spans="1:6">
      <c r="A112" t="s">
        <v>26</v>
      </c>
      <c r="B112" t="s">
        <v>19</v>
      </c>
      <c r="C112" s="8">
        <v>2</v>
      </c>
      <c r="D112" s="5">
        <v>0.5</v>
      </c>
      <c r="E112" s="9">
        <f t="shared" si="1"/>
        <v>1</v>
      </c>
      <c r="F112">
        <f>VLOOKUP(A112,Calories!$A$1:$B$15,2,FALSE)</f>
        <v>300</v>
      </c>
    </row>
    <row r="113" spans="1:6">
      <c r="A113" t="s">
        <v>13</v>
      </c>
      <c r="B113" t="s">
        <v>7</v>
      </c>
      <c r="C113" s="8">
        <v>3</v>
      </c>
      <c r="D113" s="5">
        <v>0.83333333333333304</v>
      </c>
      <c r="E113" s="9">
        <f t="shared" si="1"/>
        <v>2.4999999999999991</v>
      </c>
      <c r="F113">
        <f>VLOOKUP(A113,Calories!$A$1:$B$15,2,FALSE)</f>
        <v>0</v>
      </c>
    </row>
    <row r="114" spans="1:6">
      <c r="A114" t="s">
        <v>14</v>
      </c>
      <c r="B114" t="s">
        <v>9</v>
      </c>
      <c r="C114" s="8">
        <v>1.5</v>
      </c>
      <c r="D114" s="5">
        <v>0.66666666666666696</v>
      </c>
      <c r="E114" s="9">
        <f t="shared" si="1"/>
        <v>1.0000000000000004</v>
      </c>
      <c r="F114">
        <f>VLOOKUP(A114,Calories!$A$1:$B$15,2,FALSE)</f>
        <v>265</v>
      </c>
    </row>
    <row r="115" spans="1:6">
      <c r="A115" t="s">
        <v>17</v>
      </c>
      <c r="B115" t="s">
        <v>7</v>
      </c>
      <c r="C115" s="8">
        <v>2.5</v>
      </c>
      <c r="D115" s="5">
        <v>0.8</v>
      </c>
      <c r="E115" s="9">
        <f t="shared" si="1"/>
        <v>2</v>
      </c>
      <c r="F115">
        <f>VLOOKUP(A115,Calories!$A$1:$B$15,2,FALSE)</f>
        <v>120</v>
      </c>
    </row>
    <row r="116" spans="1:6">
      <c r="A116" t="s">
        <v>12</v>
      </c>
      <c r="B116" t="s">
        <v>9</v>
      </c>
      <c r="C116" s="8">
        <v>2</v>
      </c>
      <c r="D116" s="5">
        <v>0.25</v>
      </c>
      <c r="E116" s="9">
        <f t="shared" si="1"/>
        <v>0.5</v>
      </c>
      <c r="F116">
        <f>VLOOKUP(A116,Calories!$A$1:$B$15,2,FALSE)</f>
        <v>480</v>
      </c>
    </row>
    <row r="117" spans="1:6">
      <c r="A117" t="s">
        <v>10</v>
      </c>
      <c r="B117" t="s">
        <v>9</v>
      </c>
      <c r="C117" s="8">
        <v>5</v>
      </c>
      <c r="D117" s="5">
        <v>0.8</v>
      </c>
      <c r="E117" s="9">
        <f t="shared" si="1"/>
        <v>4</v>
      </c>
      <c r="F117">
        <f>VLOOKUP(A117,Calories!$A$1:$B$15,2,FALSE)</f>
        <v>500</v>
      </c>
    </row>
    <row r="118" spans="1:6">
      <c r="A118" t="s">
        <v>10</v>
      </c>
      <c r="B118" t="s">
        <v>9</v>
      </c>
      <c r="C118" s="8">
        <v>5</v>
      </c>
      <c r="D118" s="5">
        <v>0.8</v>
      </c>
      <c r="E118" s="9">
        <f t="shared" si="1"/>
        <v>4</v>
      </c>
      <c r="F118">
        <f>VLOOKUP(A118,Calories!$A$1:$B$15,2,FALSE)</f>
        <v>500</v>
      </c>
    </row>
    <row r="119" spans="1:6">
      <c r="A119" t="s">
        <v>29</v>
      </c>
      <c r="B119" t="s">
        <v>22</v>
      </c>
      <c r="C119" s="8">
        <v>3</v>
      </c>
      <c r="D119" s="5">
        <v>0.66666666666666696</v>
      </c>
      <c r="E119" s="9">
        <f t="shared" si="1"/>
        <v>2.0000000000000009</v>
      </c>
      <c r="F119">
        <f>VLOOKUP(A119,Calories!$A$1:$B$15,2,FALSE)</f>
        <v>240</v>
      </c>
    </row>
    <row r="120" spans="1:6">
      <c r="A120" t="s">
        <v>10</v>
      </c>
      <c r="B120" t="s">
        <v>9</v>
      </c>
      <c r="C120" s="8">
        <v>5</v>
      </c>
      <c r="D120" s="5">
        <v>0.8</v>
      </c>
      <c r="E120" s="9">
        <f t="shared" si="1"/>
        <v>4</v>
      </c>
      <c r="F120">
        <f>VLOOKUP(A120,Calories!$A$1:$B$15,2,FALSE)</f>
        <v>500</v>
      </c>
    </row>
    <row r="121" spans="1:6">
      <c r="A121" t="s">
        <v>13</v>
      </c>
      <c r="B121" t="s">
        <v>7</v>
      </c>
      <c r="C121" s="8">
        <v>3</v>
      </c>
      <c r="D121" s="5">
        <v>0.83333333333333304</v>
      </c>
      <c r="E121" s="9">
        <f t="shared" si="1"/>
        <v>2.4999999999999991</v>
      </c>
      <c r="F121">
        <f>VLOOKUP(A121,Calories!$A$1:$B$15,2,FALSE)</f>
        <v>0</v>
      </c>
    </row>
    <row r="122" spans="1:6">
      <c r="A122" t="s">
        <v>27</v>
      </c>
      <c r="B122" t="s">
        <v>19</v>
      </c>
      <c r="C122" s="8">
        <v>2</v>
      </c>
      <c r="D122" s="5">
        <v>0.5</v>
      </c>
      <c r="E122" s="9">
        <f t="shared" si="1"/>
        <v>1</v>
      </c>
      <c r="F122">
        <f>VLOOKUP(A122,Calories!$A$1:$B$15,2,FALSE)</f>
        <v>280</v>
      </c>
    </row>
    <row r="123" spans="1:6">
      <c r="A123" t="s">
        <v>13</v>
      </c>
      <c r="B123" t="s">
        <v>7</v>
      </c>
      <c r="C123" s="8">
        <v>3</v>
      </c>
      <c r="D123" s="5">
        <v>0.83333333333333304</v>
      </c>
      <c r="E123" s="9">
        <f t="shared" si="1"/>
        <v>2.4999999999999991</v>
      </c>
      <c r="F123">
        <f>VLOOKUP(A123,Calories!$A$1:$B$15,2,FALSE)</f>
        <v>0</v>
      </c>
    </row>
    <row r="124" spans="1:6">
      <c r="A124" t="s">
        <v>29</v>
      </c>
      <c r="B124" t="s">
        <v>22</v>
      </c>
      <c r="C124" s="8">
        <v>3</v>
      </c>
      <c r="D124" s="5">
        <v>0.66666666666666696</v>
      </c>
      <c r="E124" s="9">
        <f t="shared" si="1"/>
        <v>2.0000000000000009</v>
      </c>
      <c r="F124">
        <f>VLOOKUP(A124,Calories!$A$1:$B$15,2,FALSE)</f>
        <v>240</v>
      </c>
    </row>
    <row r="125" spans="1:6">
      <c r="A125" t="s">
        <v>12</v>
      </c>
      <c r="B125" t="s">
        <v>9</v>
      </c>
      <c r="C125" s="8">
        <v>2</v>
      </c>
      <c r="D125" s="5">
        <v>0.25</v>
      </c>
      <c r="E125" s="9">
        <f t="shared" si="1"/>
        <v>0.5</v>
      </c>
      <c r="F125">
        <f>VLOOKUP(A125,Calories!$A$1:$B$15,2,FALSE)</f>
        <v>480</v>
      </c>
    </row>
    <row r="126" spans="1:6">
      <c r="A126" t="s">
        <v>12</v>
      </c>
      <c r="B126" t="s">
        <v>9</v>
      </c>
      <c r="C126" s="8">
        <v>2</v>
      </c>
      <c r="D126" s="5">
        <v>0.25</v>
      </c>
      <c r="E126" s="9">
        <f t="shared" si="1"/>
        <v>0.5</v>
      </c>
      <c r="F126">
        <f>VLOOKUP(A126,Calories!$A$1:$B$15,2,FALSE)</f>
        <v>480</v>
      </c>
    </row>
    <row r="127" spans="1:6">
      <c r="A127" t="s">
        <v>29</v>
      </c>
      <c r="B127" t="s">
        <v>22</v>
      </c>
      <c r="C127" s="8">
        <v>3</v>
      </c>
      <c r="D127" s="5">
        <v>0.66666666666666696</v>
      </c>
      <c r="E127" s="9">
        <f t="shared" si="1"/>
        <v>2.0000000000000009</v>
      </c>
      <c r="F127">
        <f>VLOOKUP(A127,Calories!$A$1:$B$15,2,FALSE)</f>
        <v>240</v>
      </c>
    </row>
    <row r="128" spans="1:6">
      <c r="A128" t="s">
        <v>12</v>
      </c>
      <c r="B128" t="s">
        <v>9</v>
      </c>
      <c r="C128" s="8">
        <v>2</v>
      </c>
      <c r="D128" s="5">
        <v>0.25</v>
      </c>
      <c r="E128" s="9">
        <f t="shared" si="1"/>
        <v>0.5</v>
      </c>
      <c r="F128">
        <f>VLOOKUP(A128,Calories!$A$1:$B$15,2,FALSE)</f>
        <v>480</v>
      </c>
    </row>
    <row r="129" spans="1:6">
      <c r="A129" t="s">
        <v>26</v>
      </c>
      <c r="B129" t="s">
        <v>19</v>
      </c>
      <c r="C129" s="8">
        <v>2</v>
      </c>
      <c r="D129" s="5">
        <v>0.5</v>
      </c>
      <c r="E129" s="9">
        <f t="shared" si="1"/>
        <v>1</v>
      </c>
      <c r="F129">
        <f>VLOOKUP(A129,Calories!$A$1:$B$15,2,FALSE)</f>
        <v>300</v>
      </c>
    </row>
    <row r="130" spans="1:6">
      <c r="A130" t="s">
        <v>18</v>
      </c>
      <c r="B130" t="s">
        <v>19</v>
      </c>
      <c r="C130" s="8">
        <v>2</v>
      </c>
      <c r="D130" s="5">
        <v>0.75</v>
      </c>
      <c r="E130" s="9">
        <f t="shared" si="1"/>
        <v>1.5</v>
      </c>
      <c r="F130">
        <f>VLOOKUP(A130,Calories!$A$1:$B$15,2,FALSE)</f>
        <v>255</v>
      </c>
    </row>
    <row r="131" spans="1:6">
      <c r="A131" t="s">
        <v>6</v>
      </c>
      <c r="B131" t="s">
        <v>7</v>
      </c>
      <c r="C131" s="8">
        <v>4</v>
      </c>
      <c r="D131" s="5">
        <v>0.5</v>
      </c>
      <c r="E131" s="9">
        <f t="shared" ref="E131:E192" si="2">C131*D131</f>
        <v>2</v>
      </c>
      <c r="F131">
        <f>VLOOKUP(A131,Calories!$A$1:$B$15,2,FALSE)</f>
        <v>200</v>
      </c>
    </row>
    <row r="132" spans="1:6">
      <c r="A132" t="s">
        <v>29</v>
      </c>
      <c r="B132" t="s">
        <v>22</v>
      </c>
      <c r="C132" s="8">
        <v>3</v>
      </c>
      <c r="D132" s="5">
        <v>0.66666666666666696</v>
      </c>
      <c r="E132" s="9">
        <f t="shared" si="2"/>
        <v>2.0000000000000009</v>
      </c>
      <c r="F132">
        <f>VLOOKUP(A132,Calories!$A$1:$B$15,2,FALSE)</f>
        <v>240</v>
      </c>
    </row>
    <row r="133" spans="1:6">
      <c r="A133" t="s">
        <v>23</v>
      </c>
      <c r="B133" t="s">
        <v>9</v>
      </c>
      <c r="C133" s="8">
        <v>3</v>
      </c>
      <c r="D133" s="5">
        <v>0.5</v>
      </c>
      <c r="E133" s="9">
        <f t="shared" si="2"/>
        <v>1.5</v>
      </c>
      <c r="F133">
        <f>VLOOKUP(A133,Calories!$A$1:$B$15,2,FALSE)</f>
        <v>560</v>
      </c>
    </row>
    <row r="134" spans="1:6">
      <c r="A134" t="s">
        <v>13</v>
      </c>
      <c r="B134" t="s">
        <v>7</v>
      </c>
      <c r="C134" s="8">
        <v>3</v>
      </c>
      <c r="D134" s="5">
        <v>0.83333333333333304</v>
      </c>
      <c r="E134" s="9">
        <f t="shared" si="2"/>
        <v>2.4999999999999991</v>
      </c>
      <c r="F134">
        <f>VLOOKUP(A134,Calories!$A$1:$B$15,2,FALSE)</f>
        <v>0</v>
      </c>
    </row>
    <row r="135" spans="1:6">
      <c r="A135" t="s">
        <v>6</v>
      </c>
      <c r="B135" t="s">
        <v>7</v>
      </c>
      <c r="C135" s="8">
        <v>4</v>
      </c>
      <c r="D135" s="5">
        <v>0.5</v>
      </c>
      <c r="E135" s="9">
        <f t="shared" si="2"/>
        <v>2</v>
      </c>
      <c r="F135">
        <f>VLOOKUP(A135,Calories!$A$1:$B$15,2,FALSE)</f>
        <v>200</v>
      </c>
    </row>
    <row r="136" spans="1:6">
      <c r="A136" t="s">
        <v>8</v>
      </c>
      <c r="B136" t="s">
        <v>9</v>
      </c>
      <c r="C136" s="8">
        <v>3</v>
      </c>
      <c r="D136" s="5">
        <v>0.66666666666666696</v>
      </c>
      <c r="E136" s="9">
        <f t="shared" si="2"/>
        <v>2.0000000000000009</v>
      </c>
      <c r="F136">
        <f>VLOOKUP(A136,Calories!$A$1:$B$15,2,FALSE)</f>
        <v>320</v>
      </c>
    </row>
    <row r="137" spans="1:6">
      <c r="A137" t="s">
        <v>18</v>
      </c>
      <c r="B137" t="s">
        <v>19</v>
      </c>
      <c r="C137" s="8">
        <v>2</v>
      </c>
      <c r="D137" s="5">
        <v>0.75</v>
      </c>
      <c r="E137" s="9">
        <f t="shared" si="2"/>
        <v>1.5</v>
      </c>
      <c r="F137">
        <f>VLOOKUP(A137,Calories!$A$1:$B$15,2,FALSE)</f>
        <v>255</v>
      </c>
    </row>
    <row r="138" spans="1:6">
      <c r="A138" t="s">
        <v>10</v>
      </c>
      <c r="B138" t="s">
        <v>9</v>
      </c>
      <c r="C138" s="8">
        <v>5</v>
      </c>
      <c r="D138" s="5">
        <v>0.8</v>
      </c>
      <c r="E138" s="9">
        <f t="shared" si="2"/>
        <v>4</v>
      </c>
      <c r="F138">
        <f>VLOOKUP(A138,Calories!$A$1:$B$15,2,FALSE)</f>
        <v>500</v>
      </c>
    </row>
    <row r="139" spans="1:6">
      <c r="A139" t="s">
        <v>8</v>
      </c>
      <c r="B139" t="s">
        <v>9</v>
      </c>
      <c r="C139" s="8">
        <v>3</v>
      </c>
      <c r="D139" s="5">
        <v>0.66666666666666696</v>
      </c>
      <c r="E139" s="9">
        <f t="shared" si="2"/>
        <v>2.0000000000000009</v>
      </c>
      <c r="F139">
        <f>VLOOKUP(A139,Calories!$A$1:$B$15,2,FALSE)</f>
        <v>320</v>
      </c>
    </row>
    <row r="140" spans="1:6">
      <c r="A140" t="s">
        <v>17</v>
      </c>
      <c r="B140" t="s">
        <v>7</v>
      </c>
      <c r="C140" s="8">
        <v>2.5</v>
      </c>
      <c r="D140" s="5">
        <v>0.8</v>
      </c>
      <c r="E140" s="9">
        <f t="shared" si="2"/>
        <v>2</v>
      </c>
      <c r="F140">
        <f>VLOOKUP(A140,Calories!$A$1:$B$15,2,FALSE)</f>
        <v>120</v>
      </c>
    </row>
    <row r="141" spans="1:6">
      <c r="A141" t="s">
        <v>12</v>
      </c>
      <c r="B141" t="s">
        <v>9</v>
      </c>
      <c r="C141" s="8">
        <v>2</v>
      </c>
      <c r="D141" s="5">
        <v>0.25</v>
      </c>
      <c r="E141" s="9">
        <f t="shared" si="2"/>
        <v>0.5</v>
      </c>
      <c r="F141">
        <f>VLOOKUP(A141,Calories!$A$1:$B$15,2,FALSE)</f>
        <v>480</v>
      </c>
    </row>
    <row r="142" spans="1:6">
      <c r="A142" t="s">
        <v>14</v>
      </c>
      <c r="B142" t="s">
        <v>9</v>
      </c>
      <c r="C142" s="8">
        <v>1.5</v>
      </c>
      <c r="D142" s="5">
        <v>0.66666666666666696</v>
      </c>
      <c r="E142" s="9">
        <f t="shared" si="2"/>
        <v>1.0000000000000004</v>
      </c>
      <c r="F142">
        <f>VLOOKUP(A142,Calories!$A$1:$B$15,2,FALSE)</f>
        <v>265</v>
      </c>
    </row>
    <row r="143" spans="1:6">
      <c r="A143" t="s">
        <v>14</v>
      </c>
      <c r="B143" t="s">
        <v>9</v>
      </c>
      <c r="C143" s="8">
        <v>1.5</v>
      </c>
      <c r="D143" s="5">
        <v>0.66666666666666696</v>
      </c>
      <c r="E143" s="9">
        <f t="shared" si="2"/>
        <v>1.0000000000000004</v>
      </c>
      <c r="F143">
        <f>VLOOKUP(A143,Calories!$A$1:$B$15,2,FALSE)</f>
        <v>265</v>
      </c>
    </row>
    <row r="144" spans="1:6">
      <c r="A144" t="s">
        <v>23</v>
      </c>
      <c r="B144" t="s">
        <v>9</v>
      </c>
      <c r="C144" s="8">
        <v>3</v>
      </c>
      <c r="D144" s="5">
        <v>0.5</v>
      </c>
      <c r="E144" s="9">
        <f t="shared" si="2"/>
        <v>1.5</v>
      </c>
      <c r="F144">
        <f>VLOOKUP(A144,Calories!$A$1:$B$15,2,FALSE)</f>
        <v>560</v>
      </c>
    </row>
    <row r="145" spans="1:6">
      <c r="A145" t="s">
        <v>8</v>
      </c>
      <c r="B145" t="s">
        <v>9</v>
      </c>
      <c r="C145" s="8">
        <v>3</v>
      </c>
      <c r="D145" s="5">
        <v>0.66666666666666696</v>
      </c>
      <c r="E145" s="9">
        <f t="shared" si="2"/>
        <v>2.0000000000000009</v>
      </c>
      <c r="F145">
        <f>VLOOKUP(A145,Calories!$A$1:$B$15,2,FALSE)</f>
        <v>320</v>
      </c>
    </row>
    <row r="146" spans="1:6">
      <c r="A146" t="s">
        <v>23</v>
      </c>
      <c r="B146" t="s">
        <v>9</v>
      </c>
      <c r="C146" s="8">
        <v>3</v>
      </c>
      <c r="D146" s="5">
        <v>0.5</v>
      </c>
      <c r="E146" s="9">
        <f t="shared" si="2"/>
        <v>1.5</v>
      </c>
      <c r="F146">
        <f>VLOOKUP(A146,Calories!$A$1:$B$15,2,FALSE)</f>
        <v>560</v>
      </c>
    </row>
    <row r="147" spans="1:6">
      <c r="A147" t="s">
        <v>8</v>
      </c>
      <c r="B147" t="s">
        <v>9</v>
      </c>
      <c r="C147" s="8">
        <v>3</v>
      </c>
      <c r="D147" s="5">
        <v>0.66666666666666696</v>
      </c>
      <c r="E147" s="9">
        <f t="shared" si="2"/>
        <v>2.0000000000000009</v>
      </c>
      <c r="F147">
        <f>VLOOKUP(A147,Calories!$A$1:$B$15,2,FALSE)</f>
        <v>320</v>
      </c>
    </row>
    <row r="148" spans="1:6">
      <c r="A148" t="s">
        <v>14</v>
      </c>
      <c r="B148" t="s">
        <v>9</v>
      </c>
      <c r="C148" s="8">
        <v>1.5</v>
      </c>
      <c r="D148" s="5">
        <v>0.66666666666666696</v>
      </c>
      <c r="E148" s="9">
        <f t="shared" si="2"/>
        <v>1.0000000000000004</v>
      </c>
      <c r="F148">
        <f>VLOOKUP(A148,Calories!$A$1:$B$15,2,FALSE)</f>
        <v>265</v>
      </c>
    </row>
    <row r="149" spans="1:6">
      <c r="A149" t="s">
        <v>23</v>
      </c>
      <c r="B149" t="s">
        <v>9</v>
      </c>
      <c r="C149" s="8">
        <v>3</v>
      </c>
      <c r="D149" s="5">
        <v>0.5</v>
      </c>
      <c r="E149" s="9">
        <f t="shared" si="2"/>
        <v>1.5</v>
      </c>
      <c r="F149">
        <f>VLOOKUP(A149,Calories!$A$1:$B$15,2,FALSE)</f>
        <v>560</v>
      </c>
    </row>
    <row r="150" spans="1:6">
      <c r="A150" t="s">
        <v>32</v>
      </c>
      <c r="B150" t="s">
        <v>22</v>
      </c>
      <c r="C150" s="8">
        <v>3</v>
      </c>
      <c r="D150" s="5">
        <v>0.83333333333333304</v>
      </c>
      <c r="E150" s="9">
        <f t="shared" si="2"/>
        <v>2.4999999999999991</v>
      </c>
      <c r="F150">
        <f>VLOOKUP(A150,Calories!$A$1:$B$15,2,FALSE)</f>
        <v>150</v>
      </c>
    </row>
    <row r="151" spans="1:6">
      <c r="A151" t="s">
        <v>10</v>
      </c>
      <c r="B151" t="s">
        <v>9</v>
      </c>
      <c r="C151" s="8">
        <v>5</v>
      </c>
      <c r="D151" s="5">
        <v>0.8</v>
      </c>
      <c r="E151" s="9">
        <f t="shared" si="2"/>
        <v>4</v>
      </c>
      <c r="F151">
        <f>VLOOKUP(A151,Calories!$A$1:$B$15,2,FALSE)</f>
        <v>500</v>
      </c>
    </row>
    <row r="152" spans="1:6">
      <c r="A152" t="s">
        <v>10</v>
      </c>
      <c r="B152" t="s">
        <v>9</v>
      </c>
      <c r="C152" s="8">
        <v>5</v>
      </c>
      <c r="D152" s="5">
        <v>0.8</v>
      </c>
      <c r="E152" s="9">
        <f t="shared" si="2"/>
        <v>4</v>
      </c>
      <c r="F152">
        <f>VLOOKUP(A152,Calories!$A$1:$B$15,2,FALSE)</f>
        <v>500</v>
      </c>
    </row>
    <row r="153" spans="1:6">
      <c r="A153" t="s">
        <v>13</v>
      </c>
      <c r="B153" t="s">
        <v>7</v>
      </c>
      <c r="C153" s="8">
        <v>3</v>
      </c>
      <c r="D153" s="5">
        <v>0.83333333333333304</v>
      </c>
      <c r="E153" s="9">
        <f t="shared" si="2"/>
        <v>2.4999999999999991</v>
      </c>
      <c r="F153">
        <f>VLOOKUP(A153,Calories!$A$1:$B$15,2,FALSE)</f>
        <v>0</v>
      </c>
    </row>
    <row r="154" spans="1:6">
      <c r="A154" t="s">
        <v>8</v>
      </c>
      <c r="B154" t="s">
        <v>9</v>
      </c>
      <c r="C154" s="8">
        <v>3</v>
      </c>
      <c r="D154" s="5">
        <v>0.66666666666666696</v>
      </c>
      <c r="E154" s="9">
        <f t="shared" si="2"/>
        <v>2.0000000000000009</v>
      </c>
      <c r="F154">
        <f>VLOOKUP(A154,Calories!$A$1:$B$15,2,FALSE)</f>
        <v>320</v>
      </c>
    </row>
    <row r="155" spans="1:6">
      <c r="A155" t="s">
        <v>12</v>
      </c>
      <c r="B155" t="s">
        <v>9</v>
      </c>
      <c r="C155" s="8">
        <v>2</v>
      </c>
      <c r="D155" s="5">
        <v>0.25</v>
      </c>
      <c r="E155" s="9">
        <f t="shared" si="2"/>
        <v>0.5</v>
      </c>
      <c r="F155">
        <f>VLOOKUP(A155,Calories!$A$1:$B$15,2,FALSE)</f>
        <v>480</v>
      </c>
    </row>
    <row r="156" spans="1:6">
      <c r="A156" t="s">
        <v>32</v>
      </c>
      <c r="B156" t="s">
        <v>22</v>
      </c>
      <c r="C156" s="8">
        <v>3</v>
      </c>
      <c r="D156" s="5">
        <v>0.83333333333333304</v>
      </c>
      <c r="E156" s="9">
        <f t="shared" si="2"/>
        <v>2.4999999999999991</v>
      </c>
      <c r="F156">
        <f>VLOOKUP(A156,Calories!$A$1:$B$15,2,FALSE)</f>
        <v>150</v>
      </c>
    </row>
    <row r="157" spans="1:6">
      <c r="A157" s="16" t="s">
        <v>12</v>
      </c>
      <c r="B157" t="s">
        <v>9</v>
      </c>
      <c r="C157" s="8">
        <v>2</v>
      </c>
      <c r="D157" s="5">
        <v>0.25</v>
      </c>
      <c r="E157" s="9">
        <f t="shared" si="2"/>
        <v>0.5</v>
      </c>
      <c r="F157">
        <f>VLOOKUP(A157,Calories!$A$1:$B$15,2,FALSE)</f>
        <v>480</v>
      </c>
    </row>
    <row r="158" spans="1:6">
      <c r="A158" t="s">
        <v>10</v>
      </c>
      <c r="B158" t="s">
        <v>9</v>
      </c>
      <c r="C158" s="8">
        <v>5</v>
      </c>
      <c r="D158" s="5">
        <v>0.8</v>
      </c>
      <c r="E158" s="9">
        <f t="shared" si="2"/>
        <v>4</v>
      </c>
      <c r="F158">
        <f>VLOOKUP(A158,Calories!$A$1:$B$15,2,FALSE)</f>
        <v>500</v>
      </c>
    </row>
    <row r="159" spans="1:6">
      <c r="A159" t="s">
        <v>17</v>
      </c>
      <c r="B159" t="s">
        <v>7</v>
      </c>
      <c r="C159" s="8">
        <v>2.5</v>
      </c>
      <c r="D159" s="5">
        <v>0.8</v>
      </c>
      <c r="E159" s="9">
        <f t="shared" si="2"/>
        <v>2</v>
      </c>
      <c r="F159">
        <f>VLOOKUP(A159,Calories!$A$1:$B$15,2,FALSE)</f>
        <v>120</v>
      </c>
    </row>
    <row r="160" spans="1:6">
      <c r="A160" t="s">
        <v>23</v>
      </c>
      <c r="B160" t="s">
        <v>9</v>
      </c>
      <c r="C160" s="8">
        <v>3</v>
      </c>
      <c r="D160" s="5">
        <v>0.5</v>
      </c>
      <c r="E160" s="9">
        <f t="shared" si="2"/>
        <v>1.5</v>
      </c>
      <c r="F160">
        <f>VLOOKUP(A160,Calories!$A$1:$B$15,2,FALSE)</f>
        <v>560</v>
      </c>
    </row>
    <row r="161" spans="1:6">
      <c r="A161" t="s">
        <v>26</v>
      </c>
      <c r="B161" t="s">
        <v>19</v>
      </c>
      <c r="C161" s="8">
        <v>2</v>
      </c>
      <c r="D161" s="5">
        <v>0.5</v>
      </c>
      <c r="E161" s="9">
        <f t="shared" si="2"/>
        <v>1</v>
      </c>
      <c r="F161">
        <f>VLOOKUP(A161,Calories!$A$1:$B$15,2,FALSE)</f>
        <v>300</v>
      </c>
    </row>
    <row r="162" spans="1:6">
      <c r="A162" t="s">
        <v>23</v>
      </c>
      <c r="B162" t="s">
        <v>9</v>
      </c>
      <c r="C162" s="8">
        <v>3</v>
      </c>
      <c r="D162" s="5">
        <v>0.5</v>
      </c>
      <c r="E162" s="9">
        <f t="shared" si="2"/>
        <v>1.5</v>
      </c>
      <c r="F162">
        <f>VLOOKUP(A162,Calories!$A$1:$B$15,2,FALSE)</f>
        <v>560</v>
      </c>
    </row>
    <row r="163" spans="1:6">
      <c r="A163" t="s">
        <v>27</v>
      </c>
      <c r="B163" t="s">
        <v>19</v>
      </c>
      <c r="C163" s="8">
        <v>2</v>
      </c>
      <c r="D163" s="5">
        <v>0.5</v>
      </c>
      <c r="E163" s="9">
        <f t="shared" si="2"/>
        <v>1</v>
      </c>
      <c r="F163">
        <f>VLOOKUP(A163,Calories!$A$1:$B$15,2,FALSE)</f>
        <v>280</v>
      </c>
    </row>
    <row r="164" spans="1:6">
      <c r="A164" t="s">
        <v>32</v>
      </c>
      <c r="B164" t="s">
        <v>22</v>
      </c>
      <c r="C164" s="8">
        <v>3</v>
      </c>
      <c r="D164" s="5">
        <v>0.83333333333333304</v>
      </c>
      <c r="E164" s="9">
        <f t="shared" si="2"/>
        <v>2.4999999999999991</v>
      </c>
      <c r="F164">
        <f>VLOOKUP(A164,Calories!$A$1:$B$15,2,FALSE)</f>
        <v>150</v>
      </c>
    </row>
    <row r="165" spans="1:6">
      <c r="A165" t="s">
        <v>10</v>
      </c>
      <c r="B165" t="s">
        <v>9</v>
      </c>
      <c r="C165" s="8">
        <v>5</v>
      </c>
      <c r="D165" s="5">
        <v>0.8</v>
      </c>
      <c r="E165" s="9">
        <f t="shared" si="2"/>
        <v>4</v>
      </c>
      <c r="F165">
        <f>VLOOKUP(A165,Calories!$A$1:$B$15,2,FALSE)</f>
        <v>500</v>
      </c>
    </row>
    <row r="166" spans="1:6">
      <c r="A166" t="s">
        <v>32</v>
      </c>
      <c r="B166" t="s">
        <v>22</v>
      </c>
      <c r="C166" s="8">
        <v>3</v>
      </c>
      <c r="D166" s="5">
        <v>0.83333333333333304</v>
      </c>
      <c r="E166" s="9">
        <f t="shared" si="2"/>
        <v>2.4999999999999991</v>
      </c>
      <c r="F166">
        <f>VLOOKUP(A166,Calories!$A$1:$B$15,2,FALSE)</f>
        <v>150</v>
      </c>
    </row>
    <row r="167" spans="1:6">
      <c r="A167" t="s">
        <v>17</v>
      </c>
      <c r="B167" t="s">
        <v>7</v>
      </c>
      <c r="C167" s="8">
        <v>2.5</v>
      </c>
      <c r="D167" s="5">
        <v>0.8</v>
      </c>
      <c r="E167" s="9">
        <f t="shared" si="2"/>
        <v>2</v>
      </c>
      <c r="F167">
        <f>VLOOKUP(A167,Calories!$A$1:$B$15,2,FALSE)</f>
        <v>120</v>
      </c>
    </row>
    <row r="168" spans="1:6">
      <c r="A168" t="s">
        <v>18</v>
      </c>
      <c r="B168" t="s">
        <v>19</v>
      </c>
      <c r="C168" s="8">
        <v>2</v>
      </c>
      <c r="D168" s="5">
        <v>0.75</v>
      </c>
      <c r="E168" s="9">
        <f t="shared" si="2"/>
        <v>1.5</v>
      </c>
      <c r="F168">
        <f>VLOOKUP(A168,Calories!$A$1:$B$15,2,FALSE)</f>
        <v>255</v>
      </c>
    </row>
    <row r="169" spans="1:6">
      <c r="A169" t="s">
        <v>32</v>
      </c>
      <c r="B169" t="s">
        <v>22</v>
      </c>
      <c r="C169" s="8">
        <v>3</v>
      </c>
      <c r="D169" s="5">
        <v>0.83333333333333304</v>
      </c>
      <c r="E169" s="9">
        <f t="shared" si="2"/>
        <v>2.4999999999999991</v>
      </c>
      <c r="F169">
        <f>VLOOKUP(A169,Calories!$A$1:$B$15,2,FALSE)</f>
        <v>150</v>
      </c>
    </row>
    <row r="170" spans="1:6">
      <c r="A170" t="s">
        <v>26</v>
      </c>
      <c r="B170" t="s">
        <v>19</v>
      </c>
      <c r="C170" s="8">
        <v>2</v>
      </c>
      <c r="D170" s="5">
        <v>0.5</v>
      </c>
      <c r="E170" s="9">
        <f t="shared" si="2"/>
        <v>1</v>
      </c>
      <c r="F170">
        <f>VLOOKUP(A170,Calories!$A$1:$B$15,2,FALSE)</f>
        <v>300</v>
      </c>
    </row>
    <row r="171" spans="1:6">
      <c r="A171" t="s">
        <v>18</v>
      </c>
      <c r="B171" t="s">
        <v>19</v>
      </c>
      <c r="C171" s="8">
        <v>2</v>
      </c>
      <c r="D171" s="5">
        <v>0.75</v>
      </c>
      <c r="E171" s="9">
        <f t="shared" si="2"/>
        <v>1.5</v>
      </c>
      <c r="F171">
        <f>VLOOKUP(A171,Calories!$A$1:$B$15,2,FALSE)</f>
        <v>255</v>
      </c>
    </row>
    <row r="172" spans="1:6">
      <c r="A172" t="s">
        <v>23</v>
      </c>
      <c r="B172" t="s">
        <v>9</v>
      </c>
      <c r="C172" s="8">
        <v>3</v>
      </c>
      <c r="D172" s="5">
        <v>0.5</v>
      </c>
      <c r="E172" s="9">
        <f t="shared" si="2"/>
        <v>1.5</v>
      </c>
      <c r="F172">
        <f>VLOOKUP(A172,Calories!$A$1:$B$15,2,FALSE)</f>
        <v>560</v>
      </c>
    </row>
    <row r="173" spans="1:6">
      <c r="A173" t="s">
        <v>27</v>
      </c>
      <c r="B173" t="s">
        <v>19</v>
      </c>
      <c r="C173" s="8">
        <v>2</v>
      </c>
      <c r="D173" s="5">
        <v>0.5</v>
      </c>
      <c r="E173" s="9">
        <f t="shared" si="2"/>
        <v>1</v>
      </c>
      <c r="F173">
        <f>VLOOKUP(A173,Calories!$A$1:$B$15,2,FALSE)</f>
        <v>280</v>
      </c>
    </row>
    <row r="174" spans="1:6">
      <c r="A174" t="s">
        <v>6</v>
      </c>
      <c r="B174" t="s">
        <v>7</v>
      </c>
      <c r="C174" s="8">
        <v>4</v>
      </c>
      <c r="D174" s="5">
        <v>0.5</v>
      </c>
      <c r="E174" s="9">
        <f t="shared" si="2"/>
        <v>2</v>
      </c>
      <c r="F174">
        <f>VLOOKUP(A174,Calories!$A$1:$B$15,2,FALSE)</f>
        <v>200</v>
      </c>
    </row>
    <row r="175" spans="1:6">
      <c r="A175" t="s">
        <v>32</v>
      </c>
      <c r="B175" t="s">
        <v>22</v>
      </c>
      <c r="C175" s="8">
        <v>3</v>
      </c>
      <c r="D175" s="5">
        <v>0.83333333333333304</v>
      </c>
      <c r="E175" s="9">
        <f t="shared" si="2"/>
        <v>2.4999999999999991</v>
      </c>
      <c r="F175">
        <f>VLOOKUP(A175,Calories!$A$1:$B$15,2,FALSE)</f>
        <v>150</v>
      </c>
    </row>
    <row r="176" spans="1:6">
      <c r="A176" t="s">
        <v>32</v>
      </c>
      <c r="B176" t="s">
        <v>22</v>
      </c>
      <c r="C176" s="8">
        <v>3</v>
      </c>
      <c r="D176" s="5">
        <v>0.83333333333333304</v>
      </c>
      <c r="E176" s="9">
        <f t="shared" si="2"/>
        <v>2.4999999999999991</v>
      </c>
      <c r="F176">
        <f>VLOOKUP(A176,Calories!$A$1:$B$15,2,FALSE)</f>
        <v>150</v>
      </c>
    </row>
    <row r="177" spans="1:6">
      <c r="A177" t="s">
        <v>32</v>
      </c>
      <c r="B177" t="s">
        <v>22</v>
      </c>
      <c r="C177" s="8">
        <v>3</v>
      </c>
      <c r="D177" s="5">
        <v>0.83333333333333304</v>
      </c>
      <c r="E177" s="9">
        <f t="shared" si="2"/>
        <v>2.4999999999999991</v>
      </c>
      <c r="F177">
        <f>VLOOKUP(A177,Calories!$A$1:$B$15,2,FALSE)</f>
        <v>150</v>
      </c>
    </row>
    <row r="178" spans="1:6">
      <c r="A178" t="s">
        <v>10</v>
      </c>
      <c r="B178" t="s">
        <v>9</v>
      </c>
      <c r="C178" s="8">
        <v>5</v>
      </c>
      <c r="D178" s="5">
        <v>0.8</v>
      </c>
      <c r="E178" s="9">
        <f t="shared" si="2"/>
        <v>4</v>
      </c>
      <c r="F178">
        <f>VLOOKUP(A178,Calories!$A$1:$B$15,2,FALSE)</f>
        <v>500</v>
      </c>
    </row>
    <row r="179" spans="1:6">
      <c r="A179" t="s">
        <v>32</v>
      </c>
      <c r="B179" t="s">
        <v>22</v>
      </c>
      <c r="C179" s="8">
        <v>3</v>
      </c>
      <c r="D179" s="5">
        <v>0.83333333333333304</v>
      </c>
      <c r="E179" s="9">
        <f t="shared" si="2"/>
        <v>2.4999999999999991</v>
      </c>
      <c r="F179">
        <f>VLOOKUP(A179,Calories!$A$1:$B$15,2,FALSE)</f>
        <v>150</v>
      </c>
    </row>
    <row r="180" spans="1:6">
      <c r="A180" t="s">
        <v>14</v>
      </c>
      <c r="B180" t="s">
        <v>9</v>
      </c>
      <c r="C180" s="8">
        <v>1.5</v>
      </c>
      <c r="D180" s="5">
        <v>0.66666666666666696</v>
      </c>
      <c r="E180" s="9">
        <f t="shared" si="2"/>
        <v>1.0000000000000004</v>
      </c>
      <c r="F180">
        <f>VLOOKUP(A180,Calories!$A$1:$B$15,2,FALSE)</f>
        <v>265</v>
      </c>
    </row>
    <row r="181" spans="1:6">
      <c r="A181" t="s">
        <v>17</v>
      </c>
      <c r="B181" t="s">
        <v>7</v>
      </c>
      <c r="C181" s="8">
        <v>2.5</v>
      </c>
      <c r="D181" s="5">
        <v>0.8</v>
      </c>
      <c r="E181" s="9">
        <f t="shared" si="2"/>
        <v>2</v>
      </c>
      <c r="F181">
        <f>VLOOKUP(A181,Calories!$A$1:$B$15,2,FALSE)</f>
        <v>120</v>
      </c>
    </row>
    <row r="182" spans="1:6">
      <c r="A182" t="s">
        <v>27</v>
      </c>
      <c r="B182" t="s">
        <v>19</v>
      </c>
      <c r="C182" s="8">
        <v>2</v>
      </c>
      <c r="D182" s="5">
        <v>0.5</v>
      </c>
      <c r="E182" s="9">
        <f t="shared" si="2"/>
        <v>1</v>
      </c>
      <c r="F182">
        <f>VLOOKUP(A182,Calories!$A$1:$B$15,2,FALSE)</f>
        <v>280</v>
      </c>
    </row>
    <row r="183" spans="1:6">
      <c r="A183" t="s">
        <v>13</v>
      </c>
      <c r="B183" t="s">
        <v>7</v>
      </c>
      <c r="C183" s="8">
        <v>3</v>
      </c>
      <c r="D183" s="5">
        <v>0.83333333333333304</v>
      </c>
      <c r="E183" s="9">
        <f t="shared" si="2"/>
        <v>2.4999999999999991</v>
      </c>
      <c r="F183">
        <f>VLOOKUP(A183,Calories!$A$1:$B$15,2,FALSE)</f>
        <v>0</v>
      </c>
    </row>
    <row r="184" spans="1:6">
      <c r="A184" t="s">
        <v>12</v>
      </c>
      <c r="B184" t="s">
        <v>9</v>
      </c>
      <c r="C184" s="8">
        <v>2</v>
      </c>
      <c r="D184" s="5">
        <v>0.25</v>
      </c>
      <c r="E184" s="9">
        <f t="shared" si="2"/>
        <v>0.5</v>
      </c>
      <c r="F184">
        <f>VLOOKUP(A184,Calories!$A$1:$B$15,2,FALSE)</f>
        <v>480</v>
      </c>
    </row>
    <row r="185" spans="1:6">
      <c r="A185" t="s">
        <v>32</v>
      </c>
      <c r="B185" t="s">
        <v>22</v>
      </c>
      <c r="C185" s="8">
        <v>3</v>
      </c>
      <c r="D185" s="5">
        <v>0.83333333333333304</v>
      </c>
      <c r="E185" s="9">
        <f t="shared" si="2"/>
        <v>2.4999999999999991</v>
      </c>
      <c r="F185">
        <f>VLOOKUP(A185,Calories!$A$1:$B$15,2,FALSE)</f>
        <v>150</v>
      </c>
    </row>
    <row r="186" spans="1:6">
      <c r="A186" t="s">
        <v>26</v>
      </c>
      <c r="B186" t="s">
        <v>19</v>
      </c>
      <c r="C186" s="8">
        <v>2</v>
      </c>
      <c r="D186" s="5">
        <v>0.5</v>
      </c>
      <c r="E186" s="9">
        <f t="shared" si="2"/>
        <v>1</v>
      </c>
      <c r="F186">
        <f>VLOOKUP(A186,Calories!$A$1:$B$15,2,FALSE)</f>
        <v>300</v>
      </c>
    </row>
    <row r="187" spans="1:6">
      <c r="A187" t="s">
        <v>12</v>
      </c>
      <c r="B187" t="s">
        <v>9</v>
      </c>
      <c r="C187" s="8">
        <v>2</v>
      </c>
      <c r="D187" s="5">
        <v>0.25</v>
      </c>
      <c r="E187" s="9">
        <f t="shared" si="2"/>
        <v>0.5</v>
      </c>
      <c r="F187">
        <f>VLOOKUP(A187,Calories!$A$1:$B$15,2,FALSE)</f>
        <v>480</v>
      </c>
    </row>
    <row r="188" spans="1:6">
      <c r="A188" t="s">
        <v>13</v>
      </c>
      <c r="B188" t="s">
        <v>7</v>
      </c>
      <c r="C188" s="8">
        <v>3</v>
      </c>
      <c r="D188" s="5">
        <v>0.83333333333333304</v>
      </c>
      <c r="E188" s="9">
        <f t="shared" si="2"/>
        <v>2.4999999999999991</v>
      </c>
      <c r="F188">
        <f>VLOOKUP(A188,Calories!$A$1:$B$15,2,FALSE)</f>
        <v>0</v>
      </c>
    </row>
    <row r="189" spans="1:6">
      <c r="A189" t="s">
        <v>10</v>
      </c>
      <c r="B189" t="s">
        <v>9</v>
      </c>
      <c r="C189" s="8">
        <v>5</v>
      </c>
      <c r="D189" s="5">
        <v>0.8</v>
      </c>
      <c r="E189" s="9">
        <f t="shared" si="2"/>
        <v>4</v>
      </c>
      <c r="F189">
        <f>VLOOKUP(A189,Calories!$A$1:$B$15,2,FALSE)</f>
        <v>500</v>
      </c>
    </row>
    <row r="190" spans="1:6">
      <c r="A190" t="s">
        <v>6</v>
      </c>
      <c r="B190" t="s">
        <v>7</v>
      </c>
      <c r="C190" s="8">
        <v>4</v>
      </c>
      <c r="D190" s="5">
        <v>0.5</v>
      </c>
      <c r="E190" s="9">
        <f t="shared" si="2"/>
        <v>2</v>
      </c>
      <c r="F190">
        <f>VLOOKUP(A190,Calories!$A$1:$B$15,2,FALSE)</f>
        <v>200</v>
      </c>
    </row>
    <row r="191" spans="1:6">
      <c r="A191" t="s">
        <v>12</v>
      </c>
      <c r="B191" t="s">
        <v>9</v>
      </c>
      <c r="C191" s="8">
        <v>2</v>
      </c>
      <c r="D191" s="5">
        <v>0.25</v>
      </c>
      <c r="E191" s="9">
        <f t="shared" si="2"/>
        <v>0.5</v>
      </c>
      <c r="F191">
        <f>VLOOKUP(A191,Calories!$A$1:$B$15,2,FALSE)</f>
        <v>480</v>
      </c>
    </row>
    <row r="192" spans="1:6">
      <c r="A192" t="s">
        <v>32</v>
      </c>
      <c r="B192" t="s">
        <v>22</v>
      </c>
      <c r="C192" s="8">
        <v>3</v>
      </c>
      <c r="D192" s="5">
        <v>0.83333333333333304</v>
      </c>
      <c r="E192" s="9">
        <f t="shared" si="2"/>
        <v>2.4999999999999991</v>
      </c>
      <c r="F192">
        <f>VLOOKUP(A192,Calories!$A$1:$B$15,2,FALSE)</f>
        <v>150</v>
      </c>
    </row>
  </sheetData>
  <autoFilter ref="A1:J192" xr:uid="{508BC50C-CABB-49C1-8467-7DC763F4A4E4}"/>
  <conditionalFormatting sqref="E1:E192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1"/>
  <sheetViews>
    <sheetView workbookViewId="0">
      <selection activeCell="B18" sqref="B18"/>
    </sheetView>
  </sheetViews>
  <sheetFormatPr defaultColWidth="11" defaultRowHeight="15.5"/>
  <cols>
    <col min="1" max="1" width="20.33203125" customWidth="1"/>
  </cols>
  <sheetData>
    <row r="1" spans="1:2">
      <c r="A1" t="s">
        <v>0</v>
      </c>
      <c r="B1" t="s">
        <v>5</v>
      </c>
    </row>
    <row r="2" spans="1:2">
      <c r="A2" s="2" t="s">
        <v>6</v>
      </c>
      <c r="B2">
        <v>200</v>
      </c>
    </row>
    <row r="3" spans="1:2">
      <c r="A3" s="2" t="s">
        <v>13</v>
      </c>
      <c r="B3">
        <v>0</v>
      </c>
    </row>
    <row r="4" spans="1:2">
      <c r="A4" s="2" t="s">
        <v>18</v>
      </c>
      <c r="B4">
        <v>255</v>
      </c>
    </row>
    <row r="5" spans="1:2">
      <c r="A5" s="2" t="s">
        <v>15</v>
      </c>
      <c r="B5">
        <v>300</v>
      </c>
    </row>
    <row r="6" spans="1:2">
      <c r="A6" s="2" t="s">
        <v>26</v>
      </c>
      <c r="B6">
        <v>300</v>
      </c>
    </row>
    <row r="7" spans="1:2">
      <c r="A7" s="2" t="s">
        <v>8</v>
      </c>
      <c r="B7">
        <v>320</v>
      </c>
    </row>
    <row r="8" spans="1:2">
      <c r="A8" s="2" t="s">
        <v>14</v>
      </c>
      <c r="B8">
        <v>265</v>
      </c>
    </row>
    <row r="9" spans="1:2">
      <c r="A9" s="2" t="s">
        <v>29</v>
      </c>
      <c r="B9">
        <v>240</v>
      </c>
    </row>
    <row r="10" spans="1:2">
      <c r="A10" s="2" t="s">
        <v>27</v>
      </c>
      <c r="B10">
        <v>280</v>
      </c>
    </row>
    <row r="11" spans="1:2">
      <c r="A11" s="2" t="s">
        <v>23</v>
      </c>
      <c r="B11">
        <v>560</v>
      </c>
    </row>
    <row r="12" spans="1:2">
      <c r="A12" s="2" t="s">
        <v>12</v>
      </c>
      <c r="B12">
        <v>480</v>
      </c>
    </row>
    <row r="13" spans="1:2">
      <c r="A13" s="2" t="s">
        <v>10</v>
      </c>
      <c r="B13">
        <v>500</v>
      </c>
    </row>
    <row r="14" spans="1:2">
      <c r="A14" s="2" t="s">
        <v>32</v>
      </c>
      <c r="B14">
        <v>150</v>
      </c>
    </row>
    <row r="15" spans="1:2">
      <c r="A15" s="2" t="s">
        <v>17</v>
      </c>
      <c r="B15">
        <v>120</v>
      </c>
    </row>
    <row r="18" spans="1:2">
      <c r="A18" s="4" t="s">
        <v>35</v>
      </c>
      <c r="B18">
        <f>MATCH("Hamburger",A2:A15,0)</f>
        <v>6</v>
      </c>
    </row>
    <row r="19" spans="1:2">
      <c r="A19" s="4" t="s">
        <v>36</v>
      </c>
      <c r="B19">
        <f>INDEX(A1:B15,3,2)</f>
        <v>0</v>
      </c>
    </row>
    <row r="20" spans="1:2">
      <c r="A20" s="4" t="s">
        <v>37</v>
      </c>
      <c r="B20" t="str">
        <f ca="1">OFFSET(A1,3,0)</f>
        <v>Chocolate Bar</v>
      </c>
    </row>
    <row r="21" spans="1:2">
      <c r="A21" s="4" t="s">
        <v>38</v>
      </c>
      <c r="B21">
        <f>SMALL(B2:B15,3)</f>
        <v>150</v>
      </c>
    </row>
  </sheetData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"/>
  <sheetViews>
    <sheetView workbookViewId="0"/>
  </sheetViews>
  <sheetFormatPr defaultColWidth="11" defaultRowHeight="15.5"/>
  <sheetData>
    <row r="1" spans="1:15">
      <c r="A1" t="s">
        <v>0</v>
      </c>
      <c r="B1" t="s">
        <v>6</v>
      </c>
      <c r="C1" t="s">
        <v>13</v>
      </c>
      <c r="D1" t="s">
        <v>18</v>
      </c>
      <c r="E1" t="s">
        <v>15</v>
      </c>
      <c r="F1" t="s">
        <v>26</v>
      </c>
      <c r="G1" t="s">
        <v>8</v>
      </c>
      <c r="H1" t="s">
        <v>14</v>
      </c>
      <c r="I1" t="s">
        <v>29</v>
      </c>
      <c r="J1" t="s">
        <v>27</v>
      </c>
      <c r="K1" t="s">
        <v>23</v>
      </c>
      <c r="L1" t="s">
        <v>12</v>
      </c>
      <c r="M1" t="s">
        <v>10</v>
      </c>
      <c r="N1" t="s">
        <v>32</v>
      </c>
      <c r="O1" t="s">
        <v>17</v>
      </c>
    </row>
    <row r="2" spans="1:15">
      <c r="A2" t="s">
        <v>39</v>
      </c>
      <c r="B2" s="5">
        <v>0.15</v>
      </c>
      <c r="C2" s="5">
        <v>0.05</v>
      </c>
      <c r="D2" s="5">
        <v>0.15</v>
      </c>
      <c r="E2" s="5">
        <v>0.15</v>
      </c>
      <c r="F2" s="5">
        <v>0.15</v>
      </c>
      <c r="G2" s="5">
        <v>0.05</v>
      </c>
      <c r="H2" s="5">
        <v>0.05</v>
      </c>
      <c r="I2" s="5">
        <v>0.15</v>
      </c>
      <c r="J2" s="5">
        <v>0.15</v>
      </c>
      <c r="K2" s="5">
        <v>0.05</v>
      </c>
      <c r="L2" s="5">
        <v>0.05</v>
      </c>
      <c r="M2" s="5">
        <v>0.05</v>
      </c>
      <c r="N2" s="5">
        <v>0.15</v>
      </c>
      <c r="O2" s="5">
        <v>0.15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/>
  </sheetViews>
  <sheetFormatPr defaultColWidth="11" defaultRowHeight="15.5"/>
  <cols>
    <col min="1" max="1" width="20.33203125" customWidth="1"/>
  </cols>
  <sheetData>
    <row r="1" spans="1:4">
      <c r="A1" t="s">
        <v>40</v>
      </c>
      <c r="B1" t="s">
        <v>41</v>
      </c>
      <c r="D1" t="s">
        <v>42</v>
      </c>
    </row>
    <row r="2" spans="1:4">
      <c r="A2" t="s">
        <v>6</v>
      </c>
      <c r="B2">
        <v>80</v>
      </c>
      <c r="D2">
        <f t="array" ref="D2">SUMPRODUCT(B2:B15,TRANSPOSE('Fee Schedule'!B2:O2))</f>
        <v>57.6</v>
      </c>
    </row>
    <row r="3" spans="1:4">
      <c r="A3" t="s">
        <v>13</v>
      </c>
      <c r="B3">
        <v>39</v>
      </c>
    </row>
    <row r="4" spans="1:4">
      <c r="A4" t="s">
        <v>18</v>
      </c>
      <c r="B4">
        <v>26</v>
      </c>
    </row>
    <row r="5" spans="1:4">
      <c r="A5" t="s">
        <v>15</v>
      </c>
      <c r="B5">
        <v>33</v>
      </c>
    </row>
    <row r="6" spans="1:4">
      <c r="A6" t="s">
        <v>26</v>
      </c>
      <c r="B6">
        <v>28</v>
      </c>
    </row>
    <row r="7" spans="1:4">
      <c r="A7" t="s">
        <v>8</v>
      </c>
      <c r="B7">
        <v>48</v>
      </c>
    </row>
    <row r="8" spans="1:4">
      <c r="A8" t="s">
        <v>14</v>
      </c>
      <c r="B8">
        <v>22.5</v>
      </c>
    </row>
    <row r="9" spans="1:4">
      <c r="A9" t="s">
        <v>29</v>
      </c>
      <c r="B9">
        <v>30</v>
      </c>
    </row>
    <row r="10" spans="1:4">
      <c r="A10" t="s">
        <v>27</v>
      </c>
      <c r="B10">
        <v>26</v>
      </c>
    </row>
    <row r="11" spans="1:4">
      <c r="A11" t="s">
        <v>23</v>
      </c>
      <c r="B11">
        <v>45</v>
      </c>
    </row>
    <row r="12" spans="1:4">
      <c r="A12" t="s">
        <v>12</v>
      </c>
      <c r="B12">
        <v>34</v>
      </c>
    </row>
    <row r="13" spans="1:4">
      <c r="A13" t="s">
        <v>10</v>
      </c>
      <c r="B13">
        <v>80</v>
      </c>
    </row>
    <row r="14" spans="1:4">
      <c r="A14" t="s">
        <v>32</v>
      </c>
      <c r="B14">
        <v>39</v>
      </c>
    </row>
    <row r="15" spans="1:4">
      <c r="A15" t="s">
        <v>17</v>
      </c>
      <c r="B15">
        <v>32.5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1"/>
  <sheetViews>
    <sheetView workbookViewId="0"/>
  </sheetViews>
  <sheetFormatPr defaultColWidth="11" defaultRowHeight="15.5"/>
  <cols>
    <col min="1" max="1" width="20.33203125" customWidth="1"/>
    <col min="2" max="2" width="12.83203125" customWidth="1"/>
    <col min="4" max="4" width="12.33203125" customWidth="1"/>
    <col min="5" max="5" width="16.83203125" customWidth="1"/>
  </cols>
  <sheetData>
    <row r="1" spans="1:3">
      <c r="A1" t="s">
        <v>0</v>
      </c>
      <c r="B1" t="s">
        <v>5</v>
      </c>
      <c r="C1" s="1" t="s">
        <v>43</v>
      </c>
    </row>
    <row r="2" spans="1:3">
      <c r="A2" s="2" t="s">
        <v>6</v>
      </c>
      <c r="B2">
        <v>200</v>
      </c>
      <c r="C2" s="1">
        <v>0</v>
      </c>
    </row>
    <row r="3" spans="1:3">
      <c r="A3" s="2" t="s">
        <v>13</v>
      </c>
      <c r="B3">
        <v>0</v>
      </c>
      <c r="C3" s="1">
        <v>0</v>
      </c>
    </row>
    <row r="4" spans="1:3">
      <c r="A4" s="2" t="s">
        <v>18</v>
      </c>
      <c r="B4">
        <v>255</v>
      </c>
      <c r="C4" s="1">
        <v>0</v>
      </c>
    </row>
    <row r="5" spans="1:3">
      <c r="A5" s="2" t="s">
        <v>15</v>
      </c>
      <c r="B5">
        <v>300</v>
      </c>
      <c r="C5" s="1">
        <v>0</v>
      </c>
    </row>
    <row r="6" spans="1:3">
      <c r="A6" s="2" t="s">
        <v>26</v>
      </c>
      <c r="B6">
        <v>300</v>
      </c>
      <c r="C6" s="1">
        <v>0</v>
      </c>
    </row>
    <row r="7" spans="1:3">
      <c r="A7" s="2" t="s">
        <v>8</v>
      </c>
      <c r="B7">
        <v>320</v>
      </c>
      <c r="C7" s="1">
        <v>0</v>
      </c>
    </row>
    <row r="8" spans="1:3">
      <c r="A8" s="2" t="s">
        <v>14</v>
      </c>
      <c r="B8">
        <v>265</v>
      </c>
      <c r="C8" s="1">
        <v>0</v>
      </c>
    </row>
    <row r="9" spans="1:3">
      <c r="A9" s="2" t="s">
        <v>29</v>
      </c>
      <c r="B9">
        <v>240</v>
      </c>
      <c r="C9" s="1">
        <v>0</v>
      </c>
    </row>
    <row r="10" spans="1:3">
      <c r="A10" s="2" t="s">
        <v>27</v>
      </c>
      <c r="B10">
        <v>280</v>
      </c>
      <c r="C10" s="1">
        <v>1</v>
      </c>
    </row>
    <row r="11" spans="1:3">
      <c r="A11" s="2" t="s">
        <v>23</v>
      </c>
      <c r="B11">
        <v>560</v>
      </c>
      <c r="C11" s="1">
        <v>2</v>
      </c>
    </row>
    <row r="12" spans="1:3">
      <c r="A12" s="2" t="s">
        <v>12</v>
      </c>
      <c r="B12">
        <v>480</v>
      </c>
      <c r="C12" s="1">
        <v>0</v>
      </c>
    </row>
    <row r="13" spans="1:3">
      <c r="A13" s="2" t="s">
        <v>10</v>
      </c>
      <c r="B13">
        <v>500</v>
      </c>
      <c r="C13" s="1">
        <v>2</v>
      </c>
    </row>
    <row r="14" spans="1:3">
      <c r="A14" s="2" t="s">
        <v>32</v>
      </c>
      <c r="B14">
        <v>150</v>
      </c>
      <c r="C14" s="1">
        <v>0</v>
      </c>
    </row>
    <row r="15" spans="1:3">
      <c r="A15" s="2" t="s">
        <v>17</v>
      </c>
      <c r="B15">
        <v>120</v>
      </c>
      <c r="C15" s="1">
        <v>0</v>
      </c>
    </row>
    <row r="16" spans="1:3">
      <c r="B16" s="1" t="s">
        <v>44</v>
      </c>
      <c r="C16" s="3">
        <f>SUM(C2:C15)</f>
        <v>5</v>
      </c>
    </row>
    <row r="17" spans="1:3">
      <c r="B17" s="1" t="s">
        <v>45</v>
      </c>
      <c r="C17" s="3">
        <f>SUMPRODUCT(B2:B15,C2:C15)</f>
        <v>2400</v>
      </c>
    </row>
    <row r="18" spans="1:3">
      <c r="A18" s="4"/>
    </row>
    <row r="19" spans="1:3">
      <c r="A19" s="4"/>
    </row>
    <row r="20" spans="1:3">
      <c r="A20" s="4"/>
    </row>
    <row r="21" spans="1:3">
      <c r="A21" s="4"/>
    </row>
  </sheetData>
  <pageMargins left="0.75" right="0.75" top="1" bottom="1" header="0.5" footer="0.5"/>
  <pageSetup orientation="portrait"/>
  <ignoredErrors>
    <ignoredError sqref="C16:C17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Basketball Game Sales</vt:lpstr>
      <vt:lpstr>Cleansed SalesData</vt:lpstr>
      <vt:lpstr>Calories</vt:lpstr>
      <vt:lpstr>Fee Schedule</vt:lpstr>
      <vt:lpstr>Revenue By Item</vt:lpstr>
      <vt:lpstr>Calories-Solver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Supraja</cp:lastModifiedBy>
  <dcterms:created xsi:type="dcterms:W3CDTF">2013-01-21T18:22:00Z</dcterms:created>
  <dcterms:modified xsi:type="dcterms:W3CDTF">2021-05-09T06:20:59Z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1033-11.2.0.10114</vt:lpwstr>
  </property>
</Properties>
</file>